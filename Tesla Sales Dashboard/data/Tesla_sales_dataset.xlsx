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ebena\Desktop\DataAnalysis\#projects\Tesla_Car_Sales_excel\"/>
    </mc:Choice>
  </mc:AlternateContent>
  <xr:revisionPtr revIDLastSave="0" documentId="13_ncr:1_{7E93776E-E61C-4ED1-8F65-90B747630A7E}" xr6:coauthVersionLast="47" xr6:coauthVersionMax="47" xr10:uidLastSave="{00000000-0000-0000-0000-000000000000}"/>
  <bookViews>
    <workbookView xWindow="-110" yWindow="-110" windowWidth="19420" windowHeight="10420" tabRatio="886" activeTab="1" xr2:uid="{03B27029-13AE-4EFC-84F4-192C2DCD3EF1}"/>
  </bookViews>
  <sheets>
    <sheet name="Tesla_sales_dataset" sheetId="1" r:id="rId1"/>
    <sheet name="Dashboard" sheetId="12" r:id="rId2"/>
    <sheet name="Time Series of Sale Amount" sheetId="11" r:id="rId3"/>
    <sheet name="Sale Unit by Car Model" sheetId="10" r:id="rId4"/>
    <sheet name="Sale Amount by Country" sheetId="9" r:id="rId5"/>
    <sheet name="Sale Amount by Car Color" sheetId="8" r:id="rId6"/>
    <sheet name="Sale Amount by Customer Type" sheetId="7" r:id="rId7"/>
  </sheets>
  <definedNames>
    <definedName name="Slicer_Car_Model">#N/A</definedName>
    <definedName name="Slicer_Country">#N/A</definedName>
    <definedName name="Slicer_Years_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1" l="1"/>
  <c r="B12" i="10"/>
</calcChain>
</file>

<file path=xl/sharedStrings.xml><?xml version="1.0" encoding="utf-8"?>
<sst xmlns="http://schemas.openxmlformats.org/spreadsheetml/2006/main" count="10059" uniqueCount="3087">
  <si>
    <t>Sale_ID</t>
  </si>
  <si>
    <t>Customer_ID</t>
  </si>
  <si>
    <t>Date</t>
  </si>
  <si>
    <t>Car_Model</t>
  </si>
  <si>
    <t>Region</t>
  </si>
  <si>
    <t>Country</t>
  </si>
  <si>
    <t>City</t>
  </si>
  <si>
    <t>Units_Sold</t>
  </si>
  <si>
    <t>Sale_Amount_USD</t>
  </si>
  <si>
    <t>Color</t>
  </si>
  <si>
    <t>Battery_Type</t>
  </si>
  <si>
    <t>Delivery_Time_Days</t>
  </si>
  <si>
    <t>Customer_Type</t>
  </si>
  <si>
    <t>Dealer_Name</t>
  </si>
  <si>
    <t>S0001</t>
  </si>
  <si>
    <t>CUST0001</t>
  </si>
  <si>
    <t>Model X</t>
  </si>
  <si>
    <t>Asia</t>
  </si>
  <si>
    <t>India</t>
  </si>
  <si>
    <t>Chennai</t>
  </si>
  <si>
    <t>Red</t>
  </si>
  <si>
    <t>Long Range</t>
  </si>
  <si>
    <t>Individual</t>
  </si>
  <si>
    <t>Brown, Olson and Dougherty Tesla</t>
  </si>
  <si>
    <t>S0002</t>
  </si>
  <si>
    <t>CUST0002</t>
  </si>
  <si>
    <t>France</t>
  </si>
  <si>
    <t>Toulouse</t>
  </si>
  <si>
    <t>White</t>
  </si>
  <si>
    <t>Standard Range</t>
  </si>
  <si>
    <t>Corporate</t>
  </si>
  <si>
    <t>Avery, Wood and Vazquez Tesla</t>
  </si>
  <si>
    <t>S0003</t>
  </si>
  <si>
    <t>CUST0003</t>
  </si>
  <si>
    <t>North America</t>
  </si>
  <si>
    <t>Paris</t>
  </si>
  <si>
    <t>Andersen, Russell and Short Tesla</t>
  </si>
  <si>
    <t>S0004</t>
  </si>
  <si>
    <t>CUST0004</t>
  </si>
  <si>
    <t>Germany</t>
  </si>
  <si>
    <t>Berlin</t>
  </si>
  <si>
    <t>Performance</t>
  </si>
  <si>
    <t>Thomas, Smith and Martin Tesla</t>
  </si>
  <si>
    <t>S0005</t>
  </si>
  <si>
    <t>CUST0005</t>
  </si>
  <si>
    <t>Model S</t>
  </si>
  <si>
    <t>Black</t>
  </si>
  <si>
    <t>Miller Ltd Tesla</t>
  </si>
  <si>
    <t>S0006</t>
  </si>
  <si>
    <t>CUST0006</t>
  </si>
  <si>
    <t>Canada</t>
  </si>
  <si>
    <t>Montreal</t>
  </si>
  <si>
    <t>Hicks-Gray Tesla</t>
  </si>
  <si>
    <t>S0007</t>
  </si>
  <si>
    <t>CUST0007</t>
  </si>
  <si>
    <t>Europe</t>
  </si>
  <si>
    <t>Brazil</t>
  </si>
  <si>
    <t>BrasÃ­lia</t>
  </si>
  <si>
    <t>White-Smith Tesla</t>
  </si>
  <si>
    <t>S0008</t>
  </si>
  <si>
    <t>CUST0008</t>
  </si>
  <si>
    <t>USA</t>
  </si>
  <si>
    <t>San Francisco</t>
  </si>
  <si>
    <t>Lozano Group Tesla</t>
  </si>
  <si>
    <t>S0009</t>
  </si>
  <si>
    <t>CUST0009</t>
  </si>
  <si>
    <t>Cybertruck</t>
  </si>
  <si>
    <t>UK</t>
  </si>
  <si>
    <t>London</t>
  </si>
  <si>
    <t>Tucker-Wright Tesla</t>
  </si>
  <si>
    <t>S0010</t>
  </si>
  <si>
    <t>CUST0010</t>
  </si>
  <si>
    <t>Model 3</t>
  </si>
  <si>
    <t>Toronto</t>
  </si>
  <si>
    <t>Lawson, Thompson and Wilson Tesla</t>
  </si>
  <si>
    <t>S0011</t>
  </si>
  <si>
    <t>CUST0011</t>
  </si>
  <si>
    <t>Australia</t>
  </si>
  <si>
    <t>Sydney</t>
  </si>
  <si>
    <t>Olson-Thomas Tesla</t>
  </si>
  <si>
    <t>S0012</t>
  </si>
  <si>
    <t>CUST0012</t>
  </si>
  <si>
    <t>Munich</t>
  </si>
  <si>
    <t>Blue</t>
  </si>
  <si>
    <t>Stewart Inc Tesla</t>
  </si>
  <si>
    <t>S0013</t>
  </si>
  <si>
    <t>CUST0013</t>
  </si>
  <si>
    <t>Marseille</t>
  </si>
  <si>
    <t>Chapman, Butler and Weber Tesla</t>
  </si>
  <si>
    <t>S0014</t>
  </si>
  <si>
    <t>CUST0014</t>
  </si>
  <si>
    <t>Adelaide</t>
  </si>
  <si>
    <t>Salinas Inc Tesla</t>
  </si>
  <si>
    <t>S0015</t>
  </si>
  <si>
    <t>CUST0015</t>
  </si>
  <si>
    <t>Houston</t>
  </si>
  <si>
    <t>Robertson-Young Tesla</t>
  </si>
  <si>
    <t>S0016</t>
  </si>
  <si>
    <t>CUST0016</t>
  </si>
  <si>
    <t>Chicago</t>
  </si>
  <si>
    <t>Hill and Sons Tesla</t>
  </si>
  <si>
    <t>S0017</t>
  </si>
  <si>
    <t>CUST0017</t>
  </si>
  <si>
    <t>Mumbai</t>
  </si>
  <si>
    <t>Powell-Ashley Tesla</t>
  </si>
  <si>
    <t>S0018</t>
  </si>
  <si>
    <t>CUST0018</t>
  </si>
  <si>
    <t>Calgary</t>
  </si>
  <si>
    <t>Silver</t>
  </si>
  <si>
    <t>Watkins-Martin Tesla</t>
  </si>
  <si>
    <t>S0019</t>
  </si>
  <si>
    <t>CUST0019</t>
  </si>
  <si>
    <t>Manchester</t>
  </si>
  <si>
    <t>Shaw and Sons Tesla</t>
  </si>
  <si>
    <t>S0020</t>
  </si>
  <si>
    <t>CUST0020</t>
  </si>
  <si>
    <t>Salvador</t>
  </si>
  <si>
    <t>Hawkins, Myers and Mitchell Tesla</t>
  </si>
  <si>
    <t>S0021</t>
  </si>
  <si>
    <t>CUST0021</t>
  </si>
  <si>
    <t>Liverpool</t>
  </si>
  <si>
    <t>Huffman, Weiss and Morris Tesla</t>
  </si>
  <si>
    <t>S0022</t>
  </si>
  <si>
    <t>CUST0022</t>
  </si>
  <si>
    <t>Nice</t>
  </si>
  <si>
    <t>Miller, Carlson and Cooper Tesla</t>
  </si>
  <si>
    <t>S0023</t>
  </si>
  <si>
    <t>CUST0023</t>
  </si>
  <si>
    <t>Leeds</t>
  </si>
  <si>
    <t>Farley, Carpenter and Martinez Tesla</t>
  </si>
  <si>
    <t>S0024</t>
  </si>
  <si>
    <t>CUST0024</t>
  </si>
  <si>
    <t>Vancouver</t>
  </si>
  <si>
    <t>Young-Brooks Tesla</t>
  </si>
  <si>
    <t>S0025</t>
  </si>
  <si>
    <t>CUST0025</t>
  </si>
  <si>
    <t>Brisbane</t>
  </si>
  <si>
    <t>Vasquez-Richards Tesla</t>
  </si>
  <si>
    <t>S0026</t>
  </si>
  <si>
    <t>CUST0026</t>
  </si>
  <si>
    <t>Hamburg</t>
  </si>
  <si>
    <t>Henderson, Richmond and Williams Tesla</t>
  </si>
  <si>
    <t>S0027</t>
  </si>
  <si>
    <t>CUST0027</t>
  </si>
  <si>
    <t>Fortaleza</t>
  </si>
  <si>
    <t>Newman LLC Tesla</t>
  </si>
  <si>
    <t>S0028</t>
  </si>
  <si>
    <t>CUST0028</t>
  </si>
  <si>
    <t>Ottawa</t>
  </si>
  <si>
    <t>Livingston Inc Tesla</t>
  </si>
  <si>
    <t>S0029</t>
  </si>
  <si>
    <t>CUST0029</t>
  </si>
  <si>
    <t>SÃ£o Paulo</t>
  </si>
  <si>
    <t>Boone-Murphy Tesla</t>
  </si>
  <si>
    <t>S0030</t>
  </si>
  <si>
    <t>CUST0030</t>
  </si>
  <si>
    <t>New York</t>
  </si>
  <si>
    <t>Hernandez, Hobbs and Wood Tesla</t>
  </si>
  <si>
    <t>S0031</t>
  </si>
  <si>
    <t>CUST0031</t>
  </si>
  <si>
    <t>Wilson-Peters Tesla</t>
  </si>
  <si>
    <t>S0032</t>
  </si>
  <si>
    <t>CUST0032</t>
  </si>
  <si>
    <t>China</t>
  </si>
  <si>
    <t>Guangzhou</t>
  </si>
  <si>
    <t>Peters, Harrison and Thompson Tesla</t>
  </si>
  <si>
    <t>S0033</t>
  </si>
  <si>
    <t>CUST0033</t>
  </si>
  <si>
    <t>Melbourne</t>
  </si>
  <si>
    <t>Collins, Green and Meyer Tesla</t>
  </si>
  <si>
    <t>S0034</t>
  </si>
  <si>
    <t>CUST0034</t>
  </si>
  <si>
    <t>Mclean Group Tesla</t>
  </si>
  <si>
    <t>S0035</t>
  </si>
  <si>
    <t>CUST0035</t>
  </si>
  <si>
    <t>Rogers LLC Tesla</t>
  </si>
  <si>
    <t>S0036</t>
  </si>
  <si>
    <t>CUST0036</t>
  </si>
  <si>
    <t>Quinn-Fischer Tesla</t>
  </si>
  <si>
    <t>S0037</t>
  </si>
  <si>
    <t>CUST0037</t>
  </si>
  <si>
    <t>Delhi</t>
  </si>
  <si>
    <t>Rogers Group Tesla</t>
  </si>
  <si>
    <t>S0038</t>
  </si>
  <si>
    <t>CUST0038</t>
  </si>
  <si>
    <t>Jordan PLC Tesla</t>
  </si>
  <si>
    <t>S0039</t>
  </si>
  <si>
    <t>CUST0039</t>
  </si>
  <si>
    <t>Cologne</t>
  </si>
  <si>
    <t>Johnson PLC Tesla</t>
  </si>
  <si>
    <t>S0040</t>
  </si>
  <si>
    <t>CUST0040</t>
  </si>
  <si>
    <t>Patterson-Rivera Tesla</t>
  </si>
  <si>
    <t>S0041</t>
  </si>
  <si>
    <t>CUST0041</t>
  </si>
  <si>
    <t>Lane, Porter and Wilcox Tesla</t>
  </si>
  <si>
    <t>S0042</t>
  </si>
  <si>
    <t>CUST0042</t>
  </si>
  <si>
    <t>Estrada, Brown and Arnold Tesla</t>
  </si>
  <si>
    <t>S0043</t>
  </si>
  <si>
    <t>CUST0043</t>
  </si>
  <si>
    <t>Chengdu</t>
  </si>
  <si>
    <t>Burnett-Calhoun Tesla</t>
  </si>
  <si>
    <t>S0044</t>
  </si>
  <si>
    <t>CUST0044</t>
  </si>
  <si>
    <t>Cummings-Moore Tesla</t>
  </si>
  <si>
    <t>S0045</t>
  </si>
  <si>
    <t>CUST0045</t>
  </si>
  <si>
    <t>Simmons-Vargas Tesla</t>
  </si>
  <si>
    <t>S0046</t>
  </si>
  <si>
    <t>CUST0046</t>
  </si>
  <si>
    <t>Hayes, Curtis and Morris Tesla</t>
  </si>
  <si>
    <t>S0047</t>
  </si>
  <si>
    <t>CUST0047</t>
  </si>
  <si>
    <t>Beijing</t>
  </si>
  <si>
    <t>Shea, Espinoza and Roberts Tesla</t>
  </si>
  <si>
    <t>S0048</t>
  </si>
  <si>
    <t>CUST0048</t>
  </si>
  <si>
    <t>Medina-Miller Tesla</t>
  </si>
  <si>
    <t>S0049</t>
  </si>
  <si>
    <t>CUST0049</t>
  </si>
  <si>
    <t>Lyon</t>
  </si>
  <si>
    <t>Arellano, Gomez and Fox Tesla</t>
  </si>
  <si>
    <t>S0050</t>
  </si>
  <si>
    <t>CUST0050</t>
  </si>
  <si>
    <t>Crane, Hale and Davis Tesla</t>
  </si>
  <si>
    <t>S0051</t>
  </si>
  <si>
    <t>CUST0051</t>
  </si>
  <si>
    <t>Smith, Dixon and Mcdonald Tesla</t>
  </si>
  <si>
    <t>S0052</t>
  </si>
  <si>
    <t>CUST0052</t>
  </si>
  <si>
    <t>Meadows-Barrett Tesla</t>
  </si>
  <si>
    <t>S0053</t>
  </si>
  <si>
    <t>CUST0053</t>
  </si>
  <si>
    <t>Owens LLC Tesla</t>
  </si>
  <si>
    <t>S0054</t>
  </si>
  <si>
    <t>CUST0054</t>
  </si>
  <si>
    <t>Bowers Group Tesla</t>
  </si>
  <si>
    <t>S0055</t>
  </si>
  <si>
    <t>CUST0055</t>
  </si>
  <si>
    <t>Dixon Inc Tesla</t>
  </si>
  <si>
    <t>S0056</t>
  </si>
  <si>
    <t>CUST0056</t>
  </si>
  <si>
    <t>Ball, Parker and Parrish Tesla</t>
  </si>
  <si>
    <t>S0057</t>
  </si>
  <si>
    <t>CUST0057</t>
  </si>
  <si>
    <t>Friedman, Wright and Shields Tesla</t>
  </si>
  <si>
    <t>S0058</t>
  </si>
  <si>
    <t>CUST0058</t>
  </si>
  <si>
    <t>Jones, Johnston and Barr Tesla</t>
  </si>
  <si>
    <t>S0059</t>
  </si>
  <si>
    <t>CUST0059</t>
  </si>
  <si>
    <t>Japan</t>
  </si>
  <si>
    <t>Sapporo</t>
  </si>
  <si>
    <t>Rivera, Jacobs and Harrington Tesla</t>
  </si>
  <si>
    <t>S0060</t>
  </si>
  <si>
    <t>CUST0060</t>
  </si>
  <si>
    <t>Yokohama</t>
  </si>
  <si>
    <t>Harvey, Wright and Juarez Tesla</t>
  </si>
  <si>
    <t>S0061</t>
  </si>
  <si>
    <t>CUST0061</t>
  </si>
  <si>
    <t>Wright, Reid and Pitts Tesla</t>
  </si>
  <si>
    <t>S0062</t>
  </si>
  <si>
    <t>CUST0062</t>
  </si>
  <si>
    <t>Marshall Ltd Tesla</t>
  </si>
  <si>
    <t>S0063</t>
  </si>
  <si>
    <t>CUST0063</t>
  </si>
  <si>
    <t>Green-Frederick Tesla</t>
  </si>
  <si>
    <t>S0064</t>
  </si>
  <si>
    <t>CUST0064</t>
  </si>
  <si>
    <t>Klein, Buchanan and Robertson Tesla</t>
  </si>
  <si>
    <t>S0065</t>
  </si>
  <si>
    <t>CUST0065</t>
  </si>
  <si>
    <t>Hernandez, Smith and Hayes Tesla</t>
  </si>
  <si>
    <t>S0066</t>
  </si>
  <si>
    <t>CUST0066</t>
  </si>
  <si>
    <t>Baxter Group Tesla</t>
  </si>
  <si>
    <t>S0067</t>
  </si>
  <si>
    <t>CUST0067</t>
  </si>
  <si>
    <t>Dunn Ltd Tesla</t>
  </si>
  <si>
    <t>S0068</t>
  </si>
  <si>
    <t>CUST0068</t>
  </si>
  <si>
    <t>Shenzhen</t>
  </si>
  <si>
    <t>Stewart, Howard and Flores Tesla</t>
  </si>
  <si>
    <t>S0069</t>
  </si>
  <si>
    <t>CUST0069</t>
  </si>
  <si>
    <t>Nagoya</t>
  </si>
  <si>
    <t>Randall Inc Tesla</t>
  </si>
  <si>
    <t>S0070</t>
  </si>
  <si>
    <t>CUST0070</t>
  </si>
  <si>
    <t>Los Angeles</t>
  </si>
  <si>
    <t>Flores, Robinson and Mitchell Tesla</t>
  </si>
  <si>
    <t>S0071</t>
  </si>
  <si>
    <t>CUST0071</t>
  </si>
  <si>
    <t>Herrera, Moore and Herring Tesla</t>
  </si>
  <si>
    <t>S0072</t>
  </si>
  <si>
    <t>CUST0072</t>
  </si>
  <si>
    <t>Bangalore</t>
  </si>
  <si>
    <t>Garcia LLC Tesla</t>
  </si>
  <si>
    <t>S0073</t>
  </si>
  <si>
    <t>CUST0073</t>
  </si>
  <si>
    <t>Morgan, Mahoney and James Tesla</t>
  </si>
  <si>
    <t>S0074</t>
  </si>
  <si>
    <t>CUST0074</t>
  </si>
  <si>
    <t>Snyder LLC Tesla</t>
  </si>
  <si>
    <t>S0075</t>
  </si>
  <si>
    <t>CUST0075</t>
  </si>
  <si>
    <t>Tokyo</t>
  </si>
  <si>
    <t>Smith LLC Tesla</t>
  </si>
  <si>
    <t>S0076</t>
  </si>
  <si>
    <t>CUST0076</t>
  </si>
  <si>
    <t>Werner Inc Tesla</t>
  </si>
  <si>
    <t>S0077</t>
  </si>
  <si>
    <t>CUST0077</t>
  </si>
  <si>
    <t>Robinson PLC Tesla</t>
  </si>
  <si>
    <t>S0078</t>
  </si>
  <si>
    <t>CUST0078</t>
  </si>
  <si>
    <t>Trevino, Estes and Johnson Tesla</t>
  </si>
  <si>
    <t>S0079</t>
  </si>
  <si>
    <t>CUST0079</t>
  </si>
  <si>
    <t>Kirby, Johnson and Chapman Tesla</t>
  </si>
  <si>
    <t>S0080</t>
  </si>
  <si>
    <t>CUST0080</t>
  </si>
  <si>
    <t>Lewis and Sons Tesla</t>
  </si>
  <si>
    <t>S0081</t>
  </si>
  <si>
    <t>CUST0081</t>
  </si>
  <si>
    <t>Mcclain-Williams Tesla</t>
  </si>
  <si>
    <t>S0082</t>
  </si>
  <si>
    <t>CUST0082</t>
  </si>
  <si>
    <t>Little, Hudson and Smith Tesla</t>
  </si>
  <si>
    <t>S0083</t>
  </si>
  <si>
    <t>CUST0083</t>
  </si>
  <si>
    <t>Oneill PLC Tesla</t>
  </si>
  <si>
    <t>S0084</t>
  </si>
  <si>
    <t>CUST0084</t>
  </si>
  <si>
    <t>Curry Inc Tesla</t>
  </si>
  <si>
    <t>S0085</t>
  </si>
  <si>
    <t>CUST0085</t>
  </si>
  <si>
    <t>Brown, Montgomery and Velasquez Tesla</t>
  </si>
  <si>
    <t>S0086</t>
  </si>
  <si>
    <t>CUST0086</t>
  </si>
  <si>
    <t>Crawford-Henderson Tesla</t>
  </si>
  <si>
    <t>S0087</t>
  </si>
  <si>
    <t>CUST0087</t>
  </si>
  <si>
    <t>Wolf LLC Tesla</t>
  </si>
  <si>
    <t>S0088</t>
  </si>
  <si>
    <t>CUST0088</t>
  </si>
  <si>
    <t>Montes-Pugh Tesla</t>
  </si>
  <si>
    <t>S0089</t>
  </si>
  <si>
    <t>CUST0089</t>
  </si>
  <si>
    <t>Lewis, Dyer and Robinson Tesla</t>
  </si>
  <si>
    <t>S0090</t>
  </si>
  <si>
    <t>CUST0090</t>
  </si>
  <si>
    <t>Smith-Santana Tesla</t>
  </si>
  <si>
    <t>S0091</t>
  </si>
  <si>
    <t>CUST0091</t>
  </si>
  <si>
    <t>Vargas-Garcia Tesla</t>
  </si>
  <si>
    <t>S0092</t>
  </si>
  <si>
    <t>CUST0092</t>
  </si>
  <si>
    <t>Aguilar-Sanchez Tesla</t>
  </si>
  <si>
    <t>S0093</t>
  </si>
  <si>
    <t>CUST0093</t>
  </si>
  <si>
    <t>Smith-Martin Tesla</t>
  </si>
  <si>
    <t>S0094</t>
  </si>
  <si>
    <t>CUST0094</t>
  </si>
  <si>
    <t>Abbott LLC Tesla</t>
  </si>
  <si>
    <t>S0095</t>
  </si>
  <si>
    <t>CUST0095</t>
  </si>
  <si>
    <t>Knapp-Wilson Tesla</t>
  </si>
  <si>
    <t>S0096</t>
  </si>
  <si>
    <t>CUST0096</t>
  </si>
  <si>
    <t>Zimmerman, Bowman and Barnett Tesla</t>
  </si>
  <si>
    <t>S0097</t>
  </si>
  <si>
    <t>CUST0097</t>
  </si>
  <si>
    <t>Sullivan, Chandler and Conner Tesla</t>
  </si>
  <si>
    <t>S0098</t>
  </si>
  <si>
    <t>CUST0098</t>
  </si>
  <si>
    <t>Casey-Sullivan Tesla</t>
  </si>
  <si>
    <t>S0099</t>
  </si>
  <si>
    <t>CUST0099</t>
  </si>
  <si>
    <t>Oliver-Patterson Tesla</t>
  </si>
  <si>
    <t>S0100</t>
  </si>
  <si>
    <t>CUST0100</t>
  </si>
  <si>
    <t>Perth</t>
  </si>
  <si>
    <t>Jones and Sons Tesla</t>
  </si>
  <si>
    <t>S0101</t>
  </si>
  <si>
    <t>CUST0101</t>
  </si>
  <si>
    <t>Matthews-Clark Tesla</t>
  </si>
  <si>
    <t>S0102</t>
  </si>
  <si>
    <t>CUST0102</t>
  </si>
  <si>
    <t>Maldonado, Cannon and Patton Tesla</t>
  </si>
  <si>
    <t>S0103</t>
  </si>
  <si>
    <t>CUST0103</t>
  </si>
  <si>
    <t>Frankfurt</t>
  </si>
  <si>
    <t>Robinson and Sons Tesla</t>
  </si>
  <si>
    <t>S0104</t>
  </si>
  <si>
    <t>CUST0104</t>
  </si>
  <si>
    <t>Mclaughlin-Graham Tesla</t>
  </si>
  <si>
    <t>S0105</t>
  </si>
  <si>
    <t>CUST0105</t>
  </si>
  <si>
    <t>Maldonado-Mcgrath Tesla</t>
  </si>
  <si>
    <t>S0106</t>
  </si>
  <si>
    <t>CUST0106</t>
  </si>
  <si>
    <t>Williams LLC Tesla</t>
  </si>
  <si>
    <t>S0107</t>
  </si>
  <si>
    <t>CUST0107</t>
  </si>
  <si>
    <t>Benson-King Tesla</t>
  </si>
  <si>
    <t>S0108</t>
  </si>
  <si>
    <t>CUST0108</t>
  </si>
  <si>
    <t>Lane Group Tesla</t>
  </si>
  <si>
    <t>S0109</t>
  </si>
  <si>
    <t>CUST0109</t>
  </si>
  <si>
    <t>Woods, Fleming and Brooks Tesla</t>
  </si>
  <si>
    <t>S0110</t>
  </si>
  <si>
    <t>CUST0110</t>
  </si>
  <si>
    <t>Mejia-Davis Tesla</t>
  </si>
  <si>
    <t>S0111</t>
  </si>
  <si>
    <t>CUST0111</t>
  </si>
  <si>
    <t>Clark-Christensen Tesla</t>
  </si>
  <si>
    <t>S0112</t>
  </si>
  <si>
    <t>CUST0112</t>
  </si>
  <si>
    <t>Mata Inc Tesla</t>
  </si>
  <si>
    <t>S0113</t>
  </si>
  <si>
    <t>CUST0113</t>
  </si>
  <si>
    <t>Mcdaniel Ltd Tesla</t>
  </si>
  <si>
    <t>S0114</t>
  </si>
  <si>
    <t>CUST0114</t>
  </si>
  <si>
    <t>Johnson, Chen and Lee Tesla</t>
  </si>
  <si>
    <t>S0115</t>
  </si>
  <si>
    <t>CUST0115</t>
  </si>
  <si>
    <t>Bernard Group Tesla</t>
  </si>
  <si>
    <t>S0116</t>
  </si>
  <si>
    <t>CUST0116</t>
  </si>
  <si>
    <t>Moore, Kim and Owens Tesla</t>
  </si>
  <si>
    <t>S0117</t>
  </si>
  <si>
    <t>CUST0117</t>
  </si>
  <si>
    <t>Christensen Ltd Tesla</t>
  </si>
  <si>
    <t>S0118</t>
  </si>
  <si>
    <t>CUST0118</t>
  </si>
  <si>
    <t>Brock Ltd Tesla</t>
  </si>
  <si>
    <t>S0119</t>
  </si>
  <si>
    <t>CUST0119</t>
  </si>
  <si>
    <t>Watson-Williams Tesla</t>
  </si>
  <si>
    <t>S0120</t>
  </si>
  <si>
    <t>CUST0120</t>
  </si>
  <si>
    <t>Waller-Hernandez Tesla</t>
  </si>
  <si>
    <t>S0121</t>
  </si>
  <si>
    <t>CUST0121</t>
  </si>
  <si>
    <t>Birmingham</t>
  </si>
  <si>
    <t>Suarez, Nelson and Johnston Tesla</t>
  </si>
  <si>
    <t>S0122</t>
  </si>
  <si>
    <t>CUST0122</t>
  </si>
  <si>
    <t>Hyderabad</t>
  </si>
  <si>
    <t>Guzman, Gallegos and Harvey Tesla</t>
  </si>
  <si>
    <t>S0123</t>
  </si>
  <si>
    <t>CUST0123</t>
  </si>
  <si>
    <t>Wells, Barnes and Drake Tesla</t>
  </si>
  <si>
    <t>S0124</t>
  </si>
  <si>
    <t>CUST0124</t>
  </si>
  <si>
    <t>Hernandez, Schwartz and Dunn Tesla</t>
  </si>
  <si>
    <t>S0125</t>
  </si>
  <si>
    <t>CUST0125</t>
  </si>
  <si>
    <t>Donaldson PLC Tesla</t>
  </si>
  <si>
    <t>S0126</t>
  </si>
  <si>
    <t>CUST0126</t>
  </si>
  <si>
    <t>Bowers, Calderon and Sims Tesla</t>
  </si>
  <si>
    <t>S0127</t>
  </si>
  <si>
    <t>CUST0127</t>
  </si>
  <si>
    <t>Wilson, Singleton and Moore Tesla</t>
  </si>
  <si>
    <t>S0128</t>
  </si>
  <si>
    <t>CUST0128</t>
  </si>
  <si>
    <t>King-Farmer Tesla</t>
  </si>
  <si>
    <t>S0129</t>
  </si>
  <si>
    <t>CUST0129</t>
  </si>
  <si>
    <t>Morrison-Wheeler Tesla</t>
  </si>
  <si>
    <t>S0130</t>
  </si>
  <si>
    <t>CUST0130</t>
  </si>
  <si>
    <t>Bell-Romero Tesla</t>
  </si>
  <si>
    <t>S0131</t>
  </si>
  <si>
    <t>CUST0131</t>
  </si>
  <si>
    <t>Jensen, Arroyo and Anthony Tesla</t>
  </si>
  <si>
    <t>S0132</t>
  </si>
  <si>
    <t>CUST0132</t>
  </si>
  <si>
    <t>Duncan-Robinson Tesla</t>
  </si>
  <si>
    <t>S0133</t>
  </si>
  <si>
    <t>CUST0133</t>
  </si>
  <si>
    <t>Lewis-Anderson Tesla</t>
  </si>
  <si>
    <t>S0134</t>
  </si>
  <si>
    <t>CUST0134</t>
  </si>
  <si>
    <t>Kim, Hall and Brown Tesla</t>
  </si>
  <si>
    <t>S0135</t>
  </si>
  <si>
    <t>CUST0135</t>
  </si>
  <si>
    <t>Shelton-Berry Tesla</t>
  </si>
  <si>
    <t>S0136</t>
  </si>
  <si>
    <t>CUST0136</t>
  </si>
  <si>
    <t>Merritt, Christian and Mitchell Tesla</t>
  </si>
  <si>
    <t>S0137</t>
  </si>
  <si>
    <t>CUST0137</t>
  </si>
  <si>
    <t>Carroll-Russo Tesla</t>
  </si>
  <si>
    <t>S0138</t>
  </si>
  <si>
    <t>CUST0138</t>
  </si>
  <si>
    <t>Chang, Dickson and Lopez Tesla</t>
  </si>
  <si>
    <t>S0139</t>
  </si>
  <si>
    <t>CUST0139</t>
  </si>
  <si>
    <t>Osaka</t>
  </si>
  <si>
    <t>Guerra-Campbell Tesla</t>
  </si>
  <si>
    <t>S0140</t>
  </si>
  <si>
    <t>CUST0140</t>
  </si>
  <si>
    <t>Rio de Janeiro</t>
  </si>
  <si>
    <t>Warren and Sons Tesla</t>
  </si>
  <si>
    <t>S0141</t>
  </si>
  <si>
    <t>CUST0141</t>
  </si>
  <si>
    <t>Anderson-Walters Tesla</t>
  </si>
  <si>
    <t>S0142</t>
  </si>
  <si>
    <t>CUST0142</t>
  </si>
  <si>
    <t>Rhodes, Rivera and Hancock Tesla</t>
  </si>
  <si>
    <t>S0143</t>
  </si>
  <si>
    <t>CUST0143</t>
  </si>
  <si>
    <t>Higgins, Sheppard and Harper Tesla</t>
  </si>
  <si>
    <t>S0144</t>
  </si>
  <si>
    <t>CUST0144</t>
  </si>
  <si>
    <t>Wells-Hunt Tesla</t>
  </si>
  <si>
    <t>S0145</t>
  </si>
  <si>
    <t>CUST0145</t>
  </si>
  <si>
    <t>Guzman Ltd Tesla</t>
  </si>
  <si>
    <t>S0146</t>
  </si>
  <si>
    <t>CUST0146</t>
  </si>
  <si>
    <t>Collins PLC Tesla</t>
  </si>
  <si>
    <t>S0147</t>
  </si>
  <si>
    <t>CUST0147</t>
  </si>
  <si>
    <t>Fisher Inc Tesla</t>
  </si>
  <si>
    <t>S0148</t>
  </si>
  <si>
    <t>CUST0148</t>
  </si>
  <si>
    <t>Martin-Ortega Tesla</t>
  </si>
  <si>
    <t>S0149</t>
  </si>
  <si>
    <t>CUST0149</t>
  </si>
  <si>
    <t>Shanghai</t>
  </si>
  <si>
    <t>Freeman PLC Tesla</t>
  </si>
  <si>
    <t>S0150</t>
  </si>
  <si>
    <t>CUST0150</t>
  </si>
  <si>
    <t>Krueger LLC Tesla</t>
  </si>
  <si>
    <t>S0151</t>
  </si>
  <si>
    <t>CUST0151</t>
  </si>
  <si>
    <t>Anderson-Ibarra Tesla</t>
  </si>
  <si>
    <t>S0152</t>
  </si>
  <si>
    <t>CUST0152</t>
  </si>
  <si>
    <t>Valentine, Miller and Smith Tesla</t>
  </si>
  <si>
    <t>S0153</t>
  </si>
  <si>
    <t>CUST0153</t>
  </si>
  <si>
    <t>Leon LLC Tesla</t>
  </si>
  <si>
    <t>S0154</t>
  </si>
  <si>
    <t>CUST0154</t>
  </si>
  <si>
    <t>Young Ltd Tesla</t>
  </si>
  <si>
    <t>S0155</t>
  </si>
  <si>
    <t>CUST0155</t>
  </si>
  <si>
    <t>Adkins Inc Tesla</t>
  </si>
  <si>
    <t>S0156</t>
  </si>
  <si>
    <t>CUST0156</t>
  </si>
  <si>
    <t>Martin-Frederick Tesla</t>
  </si>
  <si>
    <t>S0157</t>
  </si>
  <si>
    <t>CUST0157</t>
  </si>
  <si>
    <t>Austin, Brooks and Marquez Tesla</t>
  </si>
  <si>
    <t>S0158</t>
  </si>
  <si>
    <t>CUST0158</t>
  </si>
  <si>
    <t>Ortiz, Frost and Mckinney Tesla</t>
  </si>
  <si>
    <t>S0159</t>
  </si>
  <si>
    <t>CUST0159</t>
  </si>
  <si>
    <t>Murray PLC Tesla</t>
  </si>
  <si>
    <t>S0160</t>
  </si>
  <si>
    <t>CUST0160</t>
  </si>
  <si>
    <t>Rhodes Group Tesla</t>
  </si>
  <si>
    <t>S0161</t>
  </si>
  <si>
    <t>CUST0161</t>
  </si>
  <si>
    <t>Wilson, Monroe and Smith Tesla</t>
  </si>
  <si>
    <t>S0162</t>
  </si>
  <si>
    <t>CUST0162</t>
  </si>
  <si>
    <t>Taylor-Lopez Tesla</t>
  </si>
  <si>
    <t>S0163</t>
  </si>
  <si>
    <t>CUST0163</t>
  </si>
  <si>
    <t>Berg, Fernandez and Hobbs Tesla</t>
  </si>
  <si>
    <t>S0164</t>
  </si>
  <si>
    <t>CUST0164</t>
  </si>
  <si>
    <t>Allen, Hernandez and Matthews Tesla</t>
  </si>
  <si>
    <t>S0165</t>
  </si>
  <si>
    <t>CUST0165</t>
  </si>
  <si>
    <t>Edwards, Byrd and Ellison Tesla</t>
  </si>
  <si>
    <t>S0166</t>
  </si>
  <si>
    <t>CUST0166</t>
  </si>
  <si>
    <t>Gordon, Contreras and Cooley Tesla</t>
  </si>
  <si>
    <t>S0167</t>
  </si>
  <si>
    <t>CUST0167</t>
  </si>
  <si>
    <t>Hebert, Lee and King Tesla</t>
  </si>
  <si>
    <t>S0168</t>
  </si>
  <si>
    <t>CUST0168</t>
  </si>
  <si>
    <t>Ellis, Sullivan and Ward Tesla</t>
  </si>
  <si>
    <t>S0169</t>
  </si>
  <si>
    <t>CUST0169</t>
  </si>
  <si>
    <t>Lynch, Serrano and Andrews Tesla</t>
  </si>
  <si>
    <t>S0170</t>
  </si>
  <si>
    <t>CUST0170</t>
  </si>
  <si>
    <t>King-Ingram Tesla</t>
  </si>
  <si>
    <t>S0171</t>
  </si>
  <si>
    <t>CUST0171</t>
  </si>
  <si>
    <t>Lewis, Walker and Allen Tesla</t>
  </si>
  <si>
    <t>S0172</t>
  </si>
  <si>
    <t>CUST0172</t>
  </si>
  <si>
    <t>Murphy, Jackson and Eaton Tesla</t>
  </si>
  <si>
    <t>S0173</t>
  </si>
  <si>
    <t>CUST0173</t>
  </si>
  <si>
    <t>Jackson, Reynolds and Diaz Tesla</t>
  </si>
  <si>
    <t>S0174</t>
  </si>
  <si>
    <t>CUST0174</t>
  </si>
  <si>
    <t>Newton LLC Tesla</t>
  </si>
  <si>
    <t>S0175</t>
  </si>
  <si>
    <t>CUST0175</t>
  </si>
  <si>
    <t>Russell, Gilmore and Mullen Tesla</t>
  </si>
  <si>
    <t>S0176</t>
  </si>
  <si>
    <t>CUST0176</t>
  </si>
  <si>
    <t>Flores PLC Tesla</t>
  </si>
  <si>
    <t>S0177</t>
  </si>
  <si>
    <t>CUST0177</t>
  </si>
  <si>
    <t>Santiago PLC Tesla</t>
  </si>
  <si>
    <t>S0178</t>
  </si>
  <si>
    <t>CUST0178</t>
  </si>
  <si>
    <t>Moore, Walker and Cook Tesla</t>
  </si>
  <si>
    <t>S0179</t>
  </si>
  <si>
    <t>CUST0179</t>
  </si>
  <si>
    <t>Thomas, Mitchell and Simpson Tesla</t>
  </si>
  <si>
    <t>S0180</t>
  </si>
  <si>
    <t>CUST0180</t>
  </si>
  <si>
    <t>Kirby, Huang and Clayton Tesla</t>
  </si>
  <si>
    <t>S0181</t>
  </si>
  <si>
    <t>CUST0181</t>
  </si>
  <si>
    <t>Romero-Williams Tesla</t>
  </si>
  <si>
    <t>S0182</t>
  </si>
  <si>
    <t>CUST0182</t>
  </si>
  <si>
    <t>Robertson, Alvarez and Webb Tesla</t>
  </si>
  <si>
    <t>S0183</t>
  </si>
  <si>
    <t>CUST0183</t>
  </si>
  <si>
    <t>Medina, Guzman and Walker Tesla</t>
  </si>
  <si>
    <t>S0184</t>
  </si>
  <si>
    <t>CUST0184</t>
  </si>
  <si>
    <t>Wang Group Tesla</t>
  </si>
  <si>
    <t>S0185</t>
  </si>
  <si>
    <t>CUST0185</t>
  </si>
  <si>
    <t>Foster, Jones and Nielsen Tesla</t>
  </si>
  <si>
    <t>S0186</t>
  </si>
  <si>
    <t>CUST0186</t>
  </si>
  <si>
    <t>Morrow, Bartlett and Love Tesla</t>
  </si>
  <si>
    <t>S0187</t>
  </si>
  <si>
    <t>CUST0187</t>
  </si>
  <si>
    <t>Kirby, Moore and Fisher Tesla</t>
  </si>
  <si>
    <t>S0188</t>
  </si>
  <si>
    <t>CUST0188</t>
  </si>
  <si>
    <t>Kelly, Turner and Wolfe Tesla</t>
  </si>
  <si>
    <t>S0189</t>
  </si>
  <si>
    <t>CUST0189</t>
  </si>
  <si>
    <t>Davis, Frederick and Butler Tesla</t>
  </si>
  <si>
    <t>S0190</t>
  </si>
  <si>
    <t>CUST0190</t>
  </si>
  <si>
    <t>Mcintosh Group Tesla</t>
  </si>
  <si>
    <t>S0191</t>
  </si>
  <si>
    <t>CUST0191</t>
  </si>
  <si>
    <t>Mccarthy Group Tesla</t>
  </si>
  <si>
    <t>S0192</t>
  </si>
  <si>
    <t>CUST0192</t>
  </si>
  <si>
    <t>Humphrey, Meyer and Burke Tesla</t>
  </si>
  <si>
    <t>S0193</t>
  </si>
  <si>
    <t>CUST0193</t>
  </si>
  <si>
    <t>Miller, Rojas and Morris Tesla</t>
  </si>
  <si>
    <t>S0194</t>
  </si>
  <si>
    <t>CUST0194</t>
  </si>
  <si>
    <t>Burns Group Tesla</t>
  </si>
  <si>
    <t>S0195</t>
  </si>
  <si>
    <t>CUST0195</t>
  </si>
  <si>
    <t>Carrillo, Cook and Chaney Tesla</t>
  </si>
  <si>
    <t>S0196</t>
  </si>
  <si>
    <t>CUST0196</t>
  </si>
  <si>
    <t>Kim, Obrien and Williams Tesla</t>
  </si>
  <si>
    <t>S0197</t>
  </si>
  <si>
    <t>CUST0197</t>
  </si>
  <si>
    <t>Short PLC Tesla</t>
  </si>
  <si>
    <t>S0198</t>
  </si>
  <si>
    <t>CUST0198</t>
  </si>
  <si>
    <t>Johnson-Logan Tesla</t>
  </si>
  <si>
    <t>S0199</t>
  </si>
  <si>
    <t>CUST0199</t>
  </si>
  <si>
    <t>Adams-Galloway Tesla</t>
  </si>
  <si>
    <t>S0200</t>
  </si>
  <si>
    <t>CUST0200</t>
  </si>
  <si>
    <t>Smith and Sons Tesla</t>
  </si>
  <si>
    <t>S0201</t>
  </si>
  <si>
    <t>CUST0201</t>
  </si>
  <si>
    <t>Parsons-Hobbs Tesla</t>
  </si>
  <si>
    <t>S0202</t>
  </si>
  <si>
    <t>CUST0202</t>
  </si>
  <si>
    <t>Jackson LLC Tesla</t>
  </si>
  <si>
    <t>S0203</t>
  </si>
  <si>
    <t>CUST0203</t>
  </si>
  <si>
    <t>Oliver, Russell and Rodriguez Tesla</t>
  </si>
  <si>
    <t>S0204</t>
  </si>
  <si>
    <t>CUST0204</t>
  </si>
  <si>
    <t>Hoover Ltd Tesla</t>
  </si>
  <si>
    <t>S0205</t>
  </si>
  <si>
    <t>CUST0205</t>
  </si>
  <si>
    <t>Figueroa, Fisher and Turner Tesla</t>
  </si>
  <si>
    <t>S0206</t>
  </si>
  <si>
    <t>CUST0206</t>
  </si>
  <si>
    <t>Figueroa-Fuller Tesla</t>
  </si>
  <si>
    <t>S0207</t>
  </si>
  <si>
    <t>CUST0207</t>
  </si>
  <si>
    <t>Barnes Ltd Tesla</t>
  </si>
  <si>
    <t>S0208</t>
  </si>
  <si>
    <t>CUST0208</t>
  </si>
  <si>
    <t>Munoz, Short and Johnson Tesla</t>
  </si>
  <si>
    <t>S0209</t>
  </si>
  <si>
    <t>CUST0209</t>
  </si>
  <si>
    <t>Davis-Cline Tesla</t>
  </si>
  <si>
    <t>S0210</t>
  </si>
  <si>
    <t>CUST0210</t>
  </si>
  <si>
    <t>Warren Ltd Tesla</t>
  </si>
  <si>
    <t>S0211</t>
  </si>
  <si>
    <t>CUST0211</t>
  </si>
  <si>
    <t>Kim, Clark and Phillips Tesla</t>
  </si>
  <si>
    <t>S0212</t>
  </si>
  <si>
    <t>CUST0212</t>
  </si>
  <si>
    <t>Martin Group Tesla</t>
  </si>
  <si>
    <t>S0213</t>
  </si>
  <si>
    <t>CUST0213</t>
  </si>
  <si>
    <t>Baker-Nash Tesla</t>
  </si>
  <si>
    <t>S0214</t>
  </si>
  <si>
    <t>CUST0214</t>
  </si>
  <si>
    <t>Burnett and Sons Tesla</t>
  </si>
  <si>
    <t>S0215</t>
  </si>
  <si>
    <t>CUST0215</t>
  </si>
  <si>
    <t>Park Ltd Tesla</t>
  </si>
  <si>
    <t>S0216</t>
  </si>
  <si>
    <t>CUST0216</t>
  </si>
  <si>
    <t>Moore, Flores and Nguyen Tesla</t>
  </si>
  <si>
    <t>S0217</t>
  </si>
  <si>
    <t>CUST0217</t>
  </si>
  <si>
    <t>Ramos-Watkins Tesla</t>
  </si>
  <si>
    <t>S0218</t>
  </si>
  <si>
    <t>CUST0218</t>
  </si>
  <si>
    <t>Gomez and Sons Tesla</t>
  </si>
  <si>
    <t>S0219</t>
  </si>
  <si>
    <t>CUST0219</t>
  </si>
  <si>
    <t>Gill LLC Tesla</t>
  </si>
  <si>
    <t>S0220</t>
  </si>
  <si>
    <t>CUST0220</t>
  </si>
  <si>
    <t>Porter, Coleman and Schneider Tesla</t>
  </si>
  <si>
    <t>S0221</t>
  </si>
  <si>
    <t>CUST0221</t>
  </si>
  <si>
    <t>Oneill, Keller and Walls Tesla</t>
  </si>
  <si>
    <t>S0222</t>
  </si>
  <si>
    <t>CUST0222</t>
  </si>
  <si>
    <t>Torres, Chase and Moon Tesla</t>
  </si>
  <si>
    <t>S0223</t>
  </si>
  <si>
    <t>CUST0223</t>
  </si>
  <si>
    <t>Schultz, Stewart and Page Tesla</t>
  </si>
  <si>
    <t>S0224</t>
  </si>
  <si>
    <t>CUST0224</t>
  </si>
  <si>
    <t>Lee, Diaz and Hampton Tesla</t>
  </si>
  <si>
    <t>S0225</t>
  </si>
  <si>
    <t>CUST0225</t>
  </si>
  <si>
    <t>Perez PLC Tesla</t>
  </si>
  <si>
    <t>S0226</t>
  </si>
  <si>
    <t>CUST0226</t>
  </si>
  <si>
    <t>S0227</t>
  </si>
  <si>
    <t>CUST0227</t>
  </si>
  <si>
    <t>Norris, Chase and Long Tesla</t>
  </si>
  <si>
    <t>S0228</t>
  </si>
  <si>
    <t>CUST0228</t>
  </si>
  <si>
    <t>Brown, Mooney and Thompson Tesla</t>
  </si>
  <si>
    <t>S0229</t>
  </si>
  <si>
    <t>CUST0229</t>
  </si>
  <si>
    <t>Williams, Johnson and Williams Tesla</t>
  </si>
  <si>
    <t>S0230</t>
  </si>
  <si>
    <t>CUST0230</t>
  </si>
  <si>
    <t>Case LLC Tesla</t>
  </si>
  <si>
    <t>S0231</t>
  </si>
  <si>
    <t>CUST0231</t>
  </si>
  <si>
    <t>Drake-Blair Tesla</t>
  </si>
  <si>
    <t>S0232</t>
  </si>
  <si>
    <t>CUST0232</t>
  </si>
  <si>
    <t>Williams PLC Tesla</t>
  </si>
  <si>
    <t>S0233</t>
  </si>
  <si>
    <t>CUST0233</t>
  </si>
  <si>
    <t>Ramirez and Sons Tesla</t>
  </si>
  <si>
    <t>S0234</t>
  </si>
  <si>
    <t>CUST0234</t>
  </si>
  <si>
    <t>Schroeder-Davila Tesla</t>
  </si>
  <si>
    <t>S0235</t>
  </si>
  <si>
    <t>CUST0235</t>
  </si>
  <si>
    <t>Hall-Howell Tesla</t>
  </si>
  <si>
    <t>S0236</t>
  </si>
  <si>
    <t>CUST0236</t>
  </si>
  <si>
    <t>Rocha PLC Tesla</t>
  </si>
  <si>
    <t>S0237</t>
  </si>
  <si>
    <t>CUST0237</t>
  </si>
  <si>
    <t>Wolfe, Green and Melendez Tesla</t>
  </si>
  <si>
    <t>S0238</t>
  </si>
  <si>
    <t>CUST0238</t>
  </si>
  <si>
    <t>Taylor, Montoya and Cooper Tesla</t>
  </si>
  <si>
    <t>S0239</t>
  </si>
  <si>
    <t>CUST0239</t>
  </si>
  <si>
    <t>Jones Group Tesla</t>
  </si>
  <si>
    <t>S0240</t>
  </si>
  <si>
    <t>CUST0240</t>
  </si>
  <si>
    <t>Reyes, Evans and Cook Tesla</t>
  </si>
  <si>
    <t>S0241</t>
  </si>
  <si>
    <t>CUST0241</t>
  </si>
  <si>
    <t>Williams, Compton and Velasquez Tesla</t>
  </si>
  <si>
    <t>S0242</t>
  </si>
  <si>
    <t>CUST0242</t>
  </si>
  <si>
    <t>Reynolds-Wang Tesla</t>
  </si>
  <si>
    <t>S0243</t>
  </si>
  <si>
    <t>CUST0243</t>
  </si>
  <si>
    <t>Wallace-Green Tesla</t>
  </si>
  <si>
    <t>S0244</t>
  </si>
  <si>
    <t>CUST0244</t>
  </si>
  <si>
    <t>Morris, Mejia and Ochoa Tesla</t>
  </si>
  <si>
    <t>S0245</t>
  </si>
  <si>
    <t>CUST0245</t>
  </si>
  <si>
    <t>Patterson LLC Tesla</t>
  </si>
  <si>
    <t>S0246</t>
  </si>
  <si>
    <t>CUST0246</t>
  </si>
  <si>
    <t>Rice-Reeves Tesla</t>
  </si>
  <si>
    <t>S0247</t>
  </si>
  <si>
    <t>CUST0247</t>
  </si>
  <si>
    <t>Cameron-Hughes Tesla</t>
  </si>
  <si>
    <t>S0248</t>
  </si>
  <si>
    <t>CUST0248</t>
  </si>
  <si>
    <t>Anthony Ltd Tesla</t>
  </si>
  <si>
    <t>S0249</t>
  </si>
  <si>
    <t>CUST0249</t>
  </si>
  <si>
    <t>Sanders-Scott Tesla</t>
  </si>
  <si>
    <t>S0250</t>
  </si>
  <si>
    <t>CUST0250</t>
  </si>
  <si>
    <t>Stewart-Waller Tesla</t>
  </si>
  <si>
    <t>S0251</t>
  </si>
  <si>
    <t>CUST0251</t>
  </si>
  <si>
    <t>Moss-Maldonado Tesla</t>
  </si>
  <si>
    <t>S0252</t>
  </si>
  <si>
    <t>CUST0252</t>
  </si>
  <si>
    <t>Johnson Inc Tesla</t>
  </si>
  <si>
    <t>S0253</t>
  </si>
  <si>
    <t>CUST0253</t>
  </si>
  <si>
    <t>Jacobs, Wright and Burke Tesla</t>
  </si>
  <si>
    <t>S0254</t>
  </si>
  <si>
    <t>CUST0254</t>
  </si>
  <si>
    <t>Humphrey, Gomez and Cox Tesla</t>
  </si>
  <si>
    <t>S0255</t>
  </si>
  <si>
    <t>CUST0255</t>
  </si>
  <si>
    <t>Carpenter-Moore Tesla</t>
  </si>
  <si>
    <t>S0256</t>
  </si>
  <si>
    <t>CUST0256</t>
  </si>
  <si>
    <t>Reynolds LLC Tesla</t>
  </si>
  <si>
    <t>S0257</t>
  </si>
  <si>
    <t>CUST0257</t>
  </si>
  <si>
    <t>Reese Ltd Tesla</t>
  </si>
  <si>
    <t>S0258</t>
  </si>
  <si>
    <t>CUST0258</t>
  </si>
  <si>
    <t>Porter, Berry and Jones Tesla</t>
  </si>
  <si>
    <t>S0259</t>
  </si>
  <si>
    <t>CUST0259</t>
  </si>
  <si>
    <t>Acevedo LLC Tesla</t>
  </si>
  <si>
    <t>S0260</t>
  </si>
  <si>
    <t>CUST0260</t>
  </si>
  <si>
    <t>Martin, Garrett and Patel Tesla</t>
  </si>
  <si>
    <t>S0261</t>
  </si>
  <si>
    <t>CUST0261</t>
  </si>
  <si>
    <t>Wise-Martin Tesla</t>
  </si>
  <si>
    <t>S0262</t>
  </si>
  <si>
    <t>CUST0262</t>
  </si>
  <si>
    <t>Martin LLC Tesla</t>
  </si>
  <si>
    <t>S0263</t>
  </si>
  <si>
    <t>CUST0263</t>
  </si>
  <si>
    <t>Garrison Ltd Tesla</t>
  </si>
  <si>
    <t>S0264</t>
  </si>
  <si>
    <t>CUST0264</t>
  </si>
  <si>
    <t>Morrow-Horton Tesla</t>
  </si>
  <si>
    <t>S0265</t>
  </si>
  <si>
    <t>CUST0265</t>
  </si>
  <si>
    <t>Owens Group Tesla</t>
  </si>
  <si>
    <t>S0266</t>
  </si>
  <si>
    <t>CUST0266</t>
  </si>
  <si>
    <t>Clay-Richards Tesla</t>
  </si>
  <si>
    <t>S0267</t>
  </si>
  <si>
    <t>CUST0267</t>
  </si>
  <si>
    <t>Hurst, Myers and Ross Tesla</t>
  </si>
  <si>
    <t>S0268</t>
  </si>
  <si>
    <t>CUST0268</t>
  </si>
  <si>
    <t>Anderson-Jones Tesla</t>
  </si>
  <si>
    <t>S0269</t>
  </si>
  <si>
    <t>CUST0269</t>
  </si>
  <si>
    <t>Davidson LLC Tesla</t>
  </si>
  <si>
    <t>S0270</t>
  </si>
  <si>
    <t>CUST0270</t>
  </si>
  <si>
    <t>Rodriguez-Ruiz Tesla</t>
  </si>
  <si>
    <t>S0271</t>
  </si>
  <si>
    <t>CUST0271</t>
  </si>
  <si>
    <t>Jones Ltd Tesla</t>
  </si>
  <si>
    <t>S0272</t>
  </si>
  <si>
    <t>CUST0272</t>
  </si>
  <si>
    <t>Dean, King and Chambers Tesla</t>
  </si>
  <si>
    <t>S0273</t>
  </si>
  <si>
    <t>CUST0273</t>
  </si>
  <si>
    <t>Conway, Howe and Gordon Tesla</t>
  </si>
  <si>
    <t>S0274</t>
  </si>
  <si>
    <t>CUST0274</t>
  </si>
  <si>
    <t>Welch PLC Tesla</t>
  </si>
  <si>
    <t>S0275</t>
  </si>
  <si>
    <t>CUST0275</t>
  </si>
  <si>
    <t>Guzman, Stafford and Brady Tesla</t>
  </si>
  <si>
    <t>S0276</t>
  </si>
  <si>
    <t>CUST0276</t>
  </si>
  <si>
    <t>Hawkins, Butler and Hughes Tesla</t>
  </si>
  <si>
    <t>S0277</t>
  </si>
  <si>
    <t>CUST0277</t>
  </si>
  <si>
    <t>Fox, Daniels and Stevenson Tesla</t>
  </si>
  <si>
    <t>S0278</t>
  </si>
  <si>
    <t>CUST0278</t>
  </si>
  <si>
    <t>Stein, Clarke and Tucker Tesla</t>
  </si>
  <si>
    <t>S0279</t>
  </si>
  <si>
    <t>CUST0279</t>
  </si>
  <si>
    <t>Gates-Tanner Tesla</t>
  </si>
  <si>
    <t>S0280</t>
  </si>
  <si>
    <t>CUST0280</t>
  </si>
  <si>
    <t>Mckay Ltd Tesla</t>
  </si>
  <si>
    <t>S0281</t>
  </si>
  <si>
    <t>CUST0281</t>
  </si>
  <si>
    <t>Moore LLC Tesla</t>
  </si>
  <si>
    <t>S0282</t>
  </si>
  <si>
    <t>CUST0282</t>
  </si>
  <si>
    <t>Flores-Whitaker Tesla</t>
  </si>
  <si>
    <t>S0283</t>
  </si>
  <si>
    <t>CUST0283</t>
  </si>
  <si>
    <t>Hansen Group Tesla</t>
  </si>
  <si>
    <t>S0284</t>
  </si>
  <si>
    <t>CUST0284</t>
  </si>
  <si>
    <t>Brady PLC Tesla</t>
  </si>
  <si>
    <t>S0285</t>
  </si>
  <si>
    <t>CUST0285</t>
  </si>
  <si>
    <t>Jordan Inc Tesla</t>
  </si>
  <si>
    <t>S0286</t>
  </si>
  <si>
    <t>CUST0286</t>
  </si>
  <si>
    <t>Miller-Moon Tesla</t>
  </si>
  <si>
    <t>S0287</t>
  </si>
  <si>
    <t>CUST0287</t>
  </si>
  <si>
    <t>Casey and Sons Tesla</t>
  </si>
  <si>
    <t>S0288</t>
  </si>
  <si>
    <t>CUST0288</t>
  </si>
  <si>
    <t>Werner Group Tesla</t>
  </si>
  <si>
    <t>S0289</t>
  </si>
  <si>
    <t>CUST0289</t>
  </si>
  <si>
    <t>S0290</t>
  </si>
  <si>
    <t>CUST0290</t>
  </si>
  <si>
    <t>Brennan Group Tesla</t>
  </si>
  <si>
    <t>S0291</t>
  </si>
  <si>
    <t>CUST0291</t>
  </si>
  <si>
    <t>Bowman, Powers and Day Tesla</t>
  </si>
  <si>
    <t>S0292</t>
  </si>
  <si>
    <t>CUST0292</t>
  </si>
  <si>
    <t>S0293</t>
  </si>
  <si>
    <t>CUST0293</t>
  </si>
  <si>
    <t>Mccarthy Ltd Tesla</t>
  </si>
  <si>
    <t>S0294</t>
  </si>
  <si>
    <t>CUST0294</t>
  </si>
  <si>
    <t>Perry, Cooper and Hess Tesla</t>
  </si>
  <si>
    <t>S0295</t>
  </si>
  <si>
    <t>CUST0295</t>
  </si>
  <si>
    <t>Butler, Contreras and Kelley Tesla</t>
  </si>
  <si>
    <t>S0296</t>
  </si>
  <si>
    <t>CUST0296</t>
  </si>
  <si>
    <t>Perkins Ltd Tesla</t>
  </si>
  <si>
    <t>S0297</t>
  </si>
  <si>
    <t>CUST0297</t>
  </si>
  <si>
    <t>Allison-Davis Tesla</t>
  </si>
  <si>
    <t>S0298</t>
  </si>
  <si>
    <t>CUST0298</t>
  </si>
  <si>
    <t>Harris PLC Tesla</t>
  </si>
  <si>
    <t>S0299</t>
  </si>
  <si>
    <t>CUST0299</t>
  </si>
  <si>
    <t>Higgins Ltd Tesla</t>
  </si>
  <si>
    <t>S0300</t>
  </si>
  <si>
    <t>CUST0300</t>
  </si>
  <si>
    <t>Church, Collier and Humphrey Tesla</t>
  </si>
  <si>
    <t>S0301</t>
  </si>
  <si>
    <t>CUST0301</t>
  </si>
  <si>
    <t>Todd, Schroeder and Dorsey Tesla</t>
  </si>
  <si>
    <t>S0302</t>
  </si>
  <si>
    <t>CUST0302</t>
  </si>
  <si>
    <t>Branch, Bennett and Ewing Tesla</t>
  </si>
  <si>
    <t>S0303</t>
  </si>
  <si>
    <t>CUST0303</t>
  </si>
  <si>
    <t>Hunt, Rivas and Warren Tesla</t>
  </si>
  <si>
    <t>S0304</t>
  </si>
  <si>
    <t>CUST0304</t>
  </si>
  <si>
    <t>Carlson, Sampson and Hopkins Tesla</t>
  </si>
  <si>
    <t>S0305</t>
  </si>
  <si>
    <t>CUST0305</t>
  </si>
  <si>
    <t>Gonzalez LLC Tesla</t>
  </si>
  <si>
    <t>S0306</t>
  </si>
  <si>
    <t>CUST0306</t>
  </si>
  <si>
    <t>Arellano LLC Tesla</t>
  </si>
  <si>
    <t>S0307</t>
  </si>
  <si>
    <t>CUST0307</t>
  </si>
  <si>
    <t>Welch Group Tesla</t>
  </si>
  <si>
    <t>S0308</t>
  </si>
  <si>
    <t>CUST0308</t>
  </si>
  <si>
    <t>Silva PLC Tesla</t>
  </si>
  <si>
    <t>S0309</t>
  </si>
  <si>
    <t>CUST0309</t>
  </si>
  <si>
    <t>Jones-Guerra Tesla</t>
  </si>
  <si>
    <t>S0310</t>
  </si>
  <si>
    <t>CUST0310</t>
  </si>
  <si>
    <t>Bentley-Kent Tesla</t>
  </si>
  <si>
    <t>S0311</t>
  </si>
  <si>
    <t>CUST0311</t>
  </si>
  <si>
    <t>Robbins LLC Tesla</t>
  </si>
  <si>
    <t>S0312</t>
  </si>
  <si>
    <t>CUST0312</t>
  </si>
  <si>
    <t>Soto-Lopez Tesla</t>
  </si>
  <si>
    <t>S0313</t>
  </si>
  <si>
    <t>CUST0313</t>
  </si>
  <si>
    <t>Foster, Massey and Schaefer Tesla</t>
  </si>
  <si>
    <t>S0314</t>
  </si>
  <si>
    <t>CUST0314</t>
  </si>
  <si>
    <t>Clark-Ryan Tesla</t>
  </si>
  <si>
    <t>S0315</t>
  </si>
  <si>
    <t>CUST0315</t>
  </si>
  <si>
    <t>Jackson-Roberts Tesla</t>
  </si>
  <si>
    <t>S0316</t>
  </si>
  <si>
    <t>CUST0316</t>
  </si>
  <si>
    <t>Sanchez-Medina Tesla</t>
  </si>
  <si>
    <t>S0317</t>
  </si>
  <si>
    <t>CUST0317</t>
  </si>
  <si>
    <t>Richardson-Gilbert Tesla</t>
  </si>
  <si>
    <t>S0318</t>
  </si>
  <si>
    <t>CUST0318</t>
  </si>
  <si>
    <t>Raymond-Garcia Tesla</t>
  </si>
  <si>
    <t>S0319</t>
  </si>
  <si>
    <t>CUST0319</t>
  </si>
  <si>
    <t>Kelley and Sons Tesla</t>
  </si>
  <si>
    <t>S0320</t>
  </si>
  <si>
    <t>CUST0320</t>
  </si>
  <si>
    <t>Macdonald-Patel Tesla</t>
  </si>
  <si>
    <t>S0321</t>
  </si>
  <si>
    <t>CUST0321</t>
  </si>
  <si>
    <t>Serrano-Jones Tesla</t>
  </si>
  <si>
    <t>S0322</t>
  </si>
  <si>
    <t>CUST0322</t>
  </si>
  <si>
    <t>Hill, Rollins and Page Tesla</t>
  </si>
  <si>
    <t>S0323</t>
  </si>
  <si>
    <t>CUST0323</t>
  </si>
  <si>
    <t>Griffin-Edwards Tesla</t>
  </si>
  <si>
    <t>S0324</t>
  </si>
  <si>
    <t>CUST0324</t>
  </si>
  <si>
    <t>Odom Group Tesla</t>
  </si>
  <si>
    <t>S0325</t>
  </si>
  <si>
    <t>CUST0325</t>
  </si>
  <si>
    <t>Fletcher, Fischer and Hart Tesla</t>
  </si>
  <si>
    <t>S0326</t>
  </si>
  <si>
    <t>CUST0326</t>
  </si>
  <si>
    <t>Lewis-Rowe Tesla</t>
  </si>
  <si>
    <t>S0327</t>
  </si>
  <si>
    <t>CUST0327</t>
  </si>
  <si>
    <t>Coleman, Nelson and Keith Tesla</t>
  </si>
  <si>
    <t>S0328</t>
  </si>
  <si>
    <t>CUST0328</t>
  </si>
  <si>
    <t>Schmitt Inc Tesla</t>
  </si>
  <si>
    <t>S0329</t>
  </si>
  <si>
    <t>CUST0329</t>
  </si>
  <si>
    <t>Mejia, Jones and Townsend Tesla</t>
  </si>
  <si>
    <t>S0330</t>
  </si>
  <si>
    <t>CUST0330</t>
  </si>
  <si>
    <t>Hardin, Khan and Glass Tesla</t>
  </si>
  <si>
    <t>S0331</t>
  </si>
  <si>
    <t>CUST0331</t>
  </si>
  <si>
    <t>Powell and Sons Tesla</t>
  </si>
  <si>
    <t>S0332</t>
  </si>
  <si>
    <t>CUST0332</t>
  </si>
  <si>
    <t>Mcdonald, Cortez and Duncan Tesla</t>
  </si>
  <si>
    <t>S0333</t>
  </si>
  <si>
    <t>CUST0333</t>
  </si>
  <si>
    <t>Doyle-Murphy Tesla</t>
  </si>
  <si>
    <t>S0334</t>
  </si>
  <si>
    <t>CUST0334</t>
  </si>
  <si>
    <t>Wright-Carter Tesla</t>
  </si>
  <si>
    <t>S0335</t>
  </si>
  <si>
    <t>CUST0335</t>
  </si>
  <si>
    <t>White, Duncan and Sampson Tesla</t>
  </si>
  <si>
    <t>S0336</t>
  </si>
  <si>
    <t>CUST0336</t>
  </si>
  <si>
    <t>Castaneda PLC Tesla</t>
  </si>
  <si>
    <t>S0337</t>
  </si>
  <si>
    <t>CUST0337</t>
  </si>
  <si>
    <t>White Group Tesla</t>
  </si>
  <si>
    <t>S0338</t>
  </si>
  <si>
    <t>CUST0338</t>
  </si>
  <si>
    <t>Garcia-Lawson Tesla</t>
  </si>
  <si>
    <t>S0339</t>
  </si>
  <si>
    <t>CUST0339</t>
  </si>
  <si>
    <t>Spence, Wu and Singleton Tesla</t>
  </si>
  <si>
    <t>S0340</t>
  </si>
  <si>
    <t>CUST0340</t>
  </si>
  <si>
    <t>Taylor LLC Tesla</t>
  </si>
  <si>
    <t>S0341</t>
  </si>
  <si>
    <t>CUST0341</t>
  </si>
  <si>
    <t>Johnson, Lucas and Simmons Tesla</t>
  </si>
  <si>
    <t>S0342</t>
  </si>
  <si>
    <t>CUST0342</t>
  </si>
  <si>
    <t>Meyer and Sons Tesla</t>
  </si>
  <si>
    <t>S0343</t>
  </si>
  <si>
    <t>CUST0343</t>
  </si>
  <si>
    <t>Hunter-Mcmahon Tesla</t>
  </si>
  <si>
    <t>S0344</t>
  </si>
  <si>
    <t>CUST0344</t>
  </si>
  <si>
    <t>Scott Inc Tesla</t>
  </si>
  <si>
    <t>S0345</t>
  </si>
  <si>
    <t>CUST0345</t>
  </si>
  <si>
    <t>Thomas-Stanley Tesla</t>
  </si>
  <si>
    <t>S0346</t>
  </si>
  <si>
    <t>CUST0346</t>
  </si>
  <si>
    <t>Green-Carroll Tesla</t>
  </si>
  <si>
    <t>S0347</t>
  </si>
  <si>
    <t>CUST0347</t>
  </si>
  <si>
    <t>Moore-Hall Tesla</t>
  </si>
  <si>
    <t>S0348</t>
  </si>
  <si>
    <t>CUST0348</t>
  </si>
  <si>
    <t>Hall, Simmons and Webster Tesla</t>
  </si>
  <si>
    <t>S0349</t>
  </si>
  <si>
    <t>CUST0349</t>
  </si>
  <si>
    <t>Mosley-Perkins Tesla</t>
  </si>
  <si>
    <t>S0350</t>
  </si>
  <si>
    <t>CUST0350</t>
  </si>
  <si>
    <t>Hughes-Kim Tesla</t>
  </si>
  <si>
    <t>S0351</t>
  </si>
  <si>
    <t>CUST0351</t>
  </si>
  <si>
    <t>Robertson-Leonard Tesla</t>
  </si>
  <si>
    <t>S0352</t>
  </si>
  <si>
    <t>CUST0352</t>
  </si>
  <si>
    <t>Hill, Lee and Ford Tesla</t>
  </si>
  <si>
    <t>S0353</t>
  </si>
  <si>
    <t>CUST0353</t>
  </si>
  <si>
    <t>Noble, Jordan and Daniels Tesla</t>
  </si>
  <si>
    <t>S0354</t>
  </si>
  <si>
    <t>CUST0354</t>
  </si>
  <si>
    <t>Dunn LLC Tesla</t>
  </si>
  <si>
    <t>S0355</t>
  </si>
  <si>
    <t>CUST0355</t>
  </si>
  <si>
    <t>Foster, Montoya and Adams Tesla</t>
  </si>
  <si>
    <t>S0356</t>
  </si>
  <si>
    <t>CUST0356</t>
  </si>
  <si>
    <t>Lane, Hubbard and Ramsey Tesla</t>
  </si>
  <si>
    <t>S0357</t>
  </si>
  <si>
    <t>CUST0357</t>
  </si>
  <si>
    <t>Montgomery and Sons Tesla</t>
  </si>
  <si>
    <t>S0358</t>
  </si>
  <si>
    <t>CUST0358</t>
  </si>
  <si>
    <t>Davis Ltd Tesla</t>
  </si>
  <si>
    <t>S0359</t>
  </si>
  <si>
    <t>CUST0359</t>
  </si>
  <si>
    <t>Norris-Fitzpatrick Tesla</t>
  </si>
  <si>
    <t>S0360</t>
  </si>
  <si>
    <t>CUST0360</t>
  </si>
  <si>
    <t>Lopez LLC Tesla</t>
  </si>
  <si>
    <t>S0361</t>
  </si>
  <si>
    <t>CUST0361</t>
  </si>
  <si>
    <t>Juarez PLC Tesla</t>
  </si>
  <si>
    <t>S0362</t>
  </si>
  <si>
    <t>CUST0362</t>
  </si>
  <si>
    <t>Franklin, Smith and Smith Tesla</t>
  </si>
  <si>
    <t>S0363</t>
  </si>
  <si>
    <t>CUST0363</t>
  </si>
  <si>
    <t>Morse PLC Tesla</t>
  </si>
  <si>
    <t>S0364</t>
  </si>
  <si>
    <t>CUST0364</t>
  </si>
  <si>
    <t>Curtis-Strong Tesla</t>
  </si>
  <si>
    <t>S0365</t>
  </si>
  <si>
    <t>CUST0365</t>
  </si>
  <si>
    <t>Leon, Porter and Hernandez Tesla</t>
  </si>
  <si>
    <t>S0366</t>
  </si>
  <si>
    <t>CUST0366</t>
  </si>
  <si>
    <t>Brown-Cohen Tesla</t>
  </si>
  <si>
    <t>S0367</t>
  </si>
  <si>
    <t>CUST0367</t>
  </si>
  <si>
    <t>Randall-Hernandez Tesla</t>
  </si>
  <si>
    <t>S0368</t>
  </si>
  <si>
    <t>CUST0368</t>
  </si>
  <si>
    <t>Daugherty-Fuller Tesla</t>
  </si>
  <si>
    <t>S0369</t>
  </si>
  <si>
    <t>CUST0369</t>
  </si>
  <si>
    <t>Allen-Edwards Tesla</t>
  </si>
  <si>
    <t>S0370</t>
  </si>
  <si>
    <t>CUST0370</t>
  </si>
  <si>
    <t>Smith-Rogers Tesla</t>
  </si>
  <si>
    <t>S0371</t>
  </si>
  <si>
    <t>CUST0371</t>
  </si>
  <si>
    <t>Tyler-Gregory Tesla</t>
  </si>
  <si>
    <t>S0372</t>
  </si>
  <si>
    <t>CUST0372</t>
  </si>
  <si>
    <t>Jones-Wallace Tesla</t>
  </si>
  <si>
    <t>S0373</t>
  </si>
  <si>
    <t>CUST0373</t>
  </si>
  <si>
    <t>Johnson-Davis Tesla</t>
  </si>
  <si>
    <t>S0374</t>
  </si>
  <si>
    <t>CUST0374</t>
  </si>
  <si>
    <t>Shepherd, Graham and Baker Tesla</t>
  </si>
  <si>
    <t>S0375</t>
  </si>
  <si>
    <t>CUST0375</t>
  </si>
  <si>
    <t>Jordan-Wall Tesla</t>
  </si>
  <si>
    <t>S0376</t>
  </si>
  <si>
    <t>CUST0376</t>
  </si>
  <si>
    <t>Collins, Jones and Brennan Tesla</t>
  </si>
  <si>
    <t>S0377</t>
  </si>
  <si>
    <t>CUST0377</t>
  </si>
  <si>
    <t>Nelson Inc Tesla</t>
  </si>
  <si>
    <t>S0378</t>
  </si>
  <si>
    <t>CUST0378</t>
  </si>
  <si>
    <t>Potter, Barnes and Barnett Tesla</t>
  </si>
  <si>
    <t>S0379</t>
  </si>
  <si>
    <t>CUST0379</t>
  </si>
  <si>
    <t>Johnson-Cooper Tesla</t>
  </si>
  <si>
    <t>S0380</t>
  </si>
  <si>
    <t>CUST0380</t>
  </si>
  <si>
    <t>Kelley-Dixon Tesla</t>
  </si>
  <si>
    <t>S0381</t>
  </si>
  <si>
    <t>CUST0381</t>
  </si>
  <si>
    <t>Walters-Soto Tesla</t>
  </si>
  <si>
    <t>S0382</t>
  </si>
  <si>
    <t>CUST0382</t>
  </si>
  <si>
    <t>Freeman and Sons Tesla</t>
  </si>
  <si>
    <t>S0383</t>
  </si>
  <si>
    <t>CUST0383</t>
  </si>
  <si>
    <t>Cook-Black Tesla</t>
  </si>
  <si>
    <t>S0384</t>
  </si>
  <si>
    <t>CUST0384</t>
  </si>
  <si>
    <t>Gonzalez Group Tesla</t>
  </si>
  <si>
    <t>S0385</t>
  </si>
  <si>
    <t>CUST0385</t>
  </si>
  <si>
    <t>Morris PLC Tesla</t>
  </si>
  <si>
    <t>S0386</t>
  </si>
  <si>
    <t>CUST0386</t>
  </si>
  <si>
    <t>Nelson-Townsend Tesla</t>
  </si>
  <si>
    <t>S0387</t>
  </si>
  <si>
    <t>CUST0387</t>
  </si>
  <si>
    <t>Romero, Garcia and Alvarado Tesla</t>
  </si>
  <si>
    <t>S0388</t>
  </si>
  <si>
    <t>CUST0388</t>
  </si>
  <si>
    <t>Parker Inc Tesla</t>
  </si>
  <si>
    <t>S0389</t>
  </si>
  <si>
    <t>CUST0389</t>
  </si>
  <si>
    <t>Alvarado, Chan and Holt Tesla</t>
  </si>
  <si>
    <t>S0390</t>
  </si>
  <si>
    <t>CUST0390</t>
  </si>
  <si>
    <t>Clarke PLC Tesla</t>
  </si>
  <si>
    <t>S0391</t>
  </si>
  <si>
    <t>CUST0391</t>
  </si>
  <si>
    <t>Mullins LLC Tesla</t>
  </si>
  <si>
    <t>S0392</t>
  </si>
  <si>
    <t>CUST0392</t>
  </si>
  <si>
    <t>Phelps PLC Tesla</t>
  </si>
  <si>
    <t>S0393</t>
  </si>
  <si>
    <t>CUST0393</t>
  </si>
  <si>
    <t>Mason-Andrews Tesla</t>
  </si>
  <si>
    <t>S0394</t>
  </si>
  <si>
    <t>CUST0394</t>
  </si>
  <si>
    <t>Bailey-Garrett Tesla</t>
  </si>
  <si>
    <t>S0395</t>
  </si>
  <si>
    <t>CUST0395</t>
  </si>
  <si>
    <t>Griffin LLC Tesla</t>
  </si>
  <si>
    <t>S0396</t>
  </si>
  <si>
    <t>CUST0396</t>
  </si>
  <si>
    <t>Carlson, Morgan and Martin Tesla</t>
  </si>
  <si>
    <t>S0397</t>
  </si>
  <si>
    <t>CUST0397</t>
  </si>
  <si>
    <t>Mcdaniel-Price Tesla</t>
  </si>
  <si>
    <t>S0398</t>
  </si>
  <si>
    <t>CUST0398</t>
  </si>
  <si>
    <t>Sutton, King and Perry Tesla</t>
  </si>
  <si>
    <t>S0399</t>
  </si>
  <si>
    <t>CUST0399</t>
  </si>
  <si>
    <t>Jones, Diaz and Landry Tesla</t>
  </si>
  <si>
    <t>S0400</t>
  </si>
  <si>
    <t>CUST0400</t>
  </si>
  <si>
    <t>Hunter Inc Tesla</t>
  </si>
  <si>
    <t>S0401</t>
  </si>
  <si>
    <t>CUST0401</t>
  </si>
  <si>
    <t>Foley, Harper and Waller Tesla</t>
  </si>
  <si>
    <t>S0402</t>
  </si>
  <si>
    <t>CUST0402</t>
  </si>
  <si>
    <t>Lucas, Reid and Hernandez Tesla</t>
  </si>
  <si>
    <t>S0403</t>
  </si>
  <si>
    <t>CUST0403</t>
  </si>
  <si>
    <t>Frederick LLC Tesla</t>
  </si>
  <si>
    <t>S0404</t>
  </si>
  <si>
    <t>CUST0404</t>
  </si>
  <si>
    <t>Brown, Adams and Gutierrez Tesla</t>
  </si>
  <si>
    <t>S0405</t>
  </si>
  <si>
    <t>CUST0405</t>
  </si>
  <si>
    <t>Bautista, Smith and Young Tesla</t>
  </si>
  <si>
    <t>S0406</t>
  </si>
  <si>
    <t>CUST0406</t>
  </si>
  <si>
    <t>Rivera, Owens and Contreras Tesla</t>
  </si>
  <si>
    <t>S0407</t>
  </si>
  <si>
    <t>CUST0407</t>
  </si>
  <si>
    <t>Christensen, Torres and Taylor Tesla</t>
  </si>
  <si>
    <t>S0408</t>
  </si>
  <si>
    <t>CUST0408</t>
  </si>
  <si>
    <t>Schneider-Snow Tesla</t>
  </si>
  <si>
    <t>S0409</t>
  </si>
  <si>
    <t>CUST0409</t>
  </si>
  <si>
    <t>Brown, Brown and Medina Tesla</t>
  </si>
  <si>
    <t>S0410</t>
  </si>
  <si>
    <t>CUST0410</t>
  </si>
  <si>
    <t>Payne Inc Tesla</t>
  </si>
  <si>
    <t>S0411</t>
  </si>
  <si>
    <t>CUST0411</t>
  </si>
  <si>
    <t>Mcpherson, Lee and Clay Tesla</t>
  </si>
  <si>
    <t>S0412</t>
  </si>
  <si>
    <t>CUST0412</t>
  </si>
  <si>
    <t>Fischer, Gonzales and Johnson Tesla</t>
  </si>
  <si>
    <t>S0413</t>
  </si>
  <si>
    <t>CUST0413</t>
  </si>
  <si>
    <t>Williams and Sons Tesla</t>
  </si>
  <si>
    <t>S0414</t>
  </si>
  <si>
    <t>CUST0414</t>
  </si>
  <si>
    <t>Myers-Dean Tesla</t>
  </si>
  <si>
    <t>S0415</t>
  </si>
  <si>
    <t>CUST0415</t>
  </si>
  <si>
    <t>Jones Inc Tesla</t>
  </si>
  <si>
    <t>S0416</t>
  </si>
  <si>
    <t>CUST0416</t>
  </si>
  <si>
    <t>Foster Group Tesla</t>
  </si>
  <si>
    <t>S0417</t>
  </si>
  <si>
    <t>CUST0417</t>
  </si>
  <si>
    <t>Webb Ltd Tesla</t>
  </si>
  <si>
    <t>S0418</t>
  </si>
  <si>
    <t>CUST0418</t>
  </si>
  <si>
    <t>Dixon LLC Tesla</t>
  </si>
  <si>
    <t>S0419</t>
  </si>
  <si>
    <t>CUST0419</t>
  </si>
  <si>
    <t>Cook, Smith and Smith Tesla</t>
  </si>
  <si>
    <t>S0420</t>
  </si>
  <si>
    <t>CUST0420</t>
  </si>
  <si>
    <t>Spears, Coleman and Jackson Tesla</t>
  </si>
  <si>
    <t>S0421</t>
  </si>
  <si>
    <t>CUST0421</t>
  </si>
  <si>
    <t>Mayo Inc Tesla</t>
  </si>
  <si>
    <t>S0422</t>
  </si>
  <si>
    <t>CUST0422</t>
  </si>
  <si>
    <t>Wagner Inc Tesla</t>
  </si>
  <si>
    <t>S0423</t>
  </si>
  <si>
    <t>CUST0423</t>
  </si>
  <si>
    <t>Jackson-Collins Tesla</t>
  </si>
  <si>
    <t>S0424</t>
  </si>
  <si>
    <t>CUST0424</t>
  </si>
  <si>
    <t>Wilson, Sosa and Jensen Tesla</t>
  </si>
  <si>
    <t>S0425</t>
  </si>
  <si>
    <t>CUST0425</t>
  </si>
  <si>
    <t>Davis-Moore Tesla</t>
  </si>
  <si>
    <t>S0426</t>
  </si>
  <si>
    <t>CUST0426</t>
  </si>
  <si>
    <t>Roy-Walker Tesla</t>
  </si>
  <si>
    <t>S0427</t>
  </si>
  <si>
    <t>CUST0427</t>
  </si>
  <si>
    <t>Mcdaniel-Cox Tesla</t>
  </si>
  <si>
    <t>S0428</t>
  </si>
  <si>
    <t>CUST0428</t>
  </si>
  <si>
    <t>Li, Rubio and Chavez Tesla</t>
  </si>
  <si>
    <t>S0429</t>
  </si>
  <si>
    <t>CUST0429</t>
  </si>
  <si>
    <t>Trujillo and Sons Tesla</t>
  </si>
  <si>
    <t>S0430</t>
  </si>
  <si>
    <t>CUST0430</t>
  </si>
  <si>
    <t>Davis and Sons Tesla</t>
  </si>
  <si>
    <t>S0431</t>
  </si>
  <si>
    <t>CUST0431</t>
  </si>
  <si>
    <t>Gonzalez, Smith and Huerta Tesla</t>
  </si>
  <si>
    <t>S0432</t>
  </si>
  <si>
    <t>CUST0432</t>
  </si>
  <si>
    <t>Smith, Martinez and Bradshaw Tesla</t>
  </si>
  <si>
    <t>S0433</t>
  </si>
  <si>
    <t>CUST0433</t>
  </si>
  <si>
    <t>Crawford, Oliver and Fernandez Tesla</t>
  </si>
  <si>
    <t>S0434</t>
  </si>
  <si>
    <t>CUST0434</t>
  </si>
  <si>
    <t>Harris-Ortiz Tesla</t>
  </si>
  <si>
    <t>S0435</t>
  </si>
  <si>
    <t>CUST0435</t>
  </si>
  <si>
    <t>Melendez Ltd Tesla</t>
  </si>
  <si>
    <t>S0436</t>
  </si>
  <si>
    <t>CUST0436</t>
  </si>
  <si>
    <t>Briggs and Sons Tesla</t>
  </si>
  <si>
    <t>S0437</t>
  </si>
  <si>
    <t>CUST0437</t>
  </si>
  <si>
    <t>Davies Ltd Tesla</t>
  </si>
  <si>
    <t>S0438</t>
  </si>
  <si>
    <t>CUST0438</t>
  </si>
  <si>
    <t>Mcdowell Group Tesla</t>
  </si>
  <si>
    <t>S0439</t>
  </si>
  <si>
    <t>CUST0439</t>
  </si>
  <si>
    <t>Rowe Inc Tesla</t>
  </si>
  <si>
    <t>S0440</t>
  </si>
  <si>
    <t>CUST0440</t>
  </si>
  <si>
    <t>Castillo Ltd Tesla</t>
  </si>
  <si>
    <t>S0441</t>
  </si>
  <si>
    <t>CUST0441</t>
  </si>
  <si>
    <t>Chan Ltd Tesla</t>
  </si>
  <si>
    <t>S0442</t>
  </si>
  <si>
    <t>CUST0442</t>
  </si>
  <si>
    <t>Cohen, Lee and Johnson Tesla</t>
  </si>
  <si>
    <t>S0443</t>
  </si>
  <si>
    <t>CUST0443</t>
  </si>
  <si>
    <t>Lee-Murray Tesla</t>
  </si>
  <si>
    <t>S0444</t>
  </si>
  <si>
    <t>CUST0444</t>
  </si>
  <si>
    <t>Wilson PLC Tesla</t>
  </si>
  <si>
    <t>S0445</t>
  </si>
  <si>
    <t>CUST0445</t>
  </si>
  <si>
    <t>Nguyen Group Tesla</t>
  </si>
  <si>
    <t>S0446</t>
  </si>
  <si>
    <t>CUST0446</t>
  </si>
  <si>
    <t>Carter-Johnson Tesla</t>
  </si>
  <si>
    <t>S0447</t>
  </si>
  <si>
    <t>CUST0447</t>
  </si>
  <si>
    <t>Garcia-Terry Tesla</t>
  </si>
  <si>
    <t>S0448</t>
  </si>
  <si>
    <t>CUST0448</t>
  </si>
  <si>
    <t>Young Inc Tesla</t>
  </si>
  <si>
    <t>S0449</t>
  </si>
  <si>
    <t>CUST0449</t>
  </si>
  <si>
    <t>Boone LLC Tesla</t>
  </si>
  <si>
    <t>S0450</t>
  </si>
  <si>
    <t>CUST0450</t>
  </si>
  <si>
    <t>Rose, Olson and Hensley Tesla</t>
  </si>
  <si>
    <t>S0451</t>
  </si>
  <si>
    <t>CUST0451</t>
  </si>
  <si>
    <t>Charles, Williamson and Hayes Tesla</t>
  </si>
  <si>
    <t>S0452</t>
  </si>
  <si>
    <t>CUST0452</t>
  </si>
  <si>
    <t>Walker-Harris Tesla</t>
  </si>
  <si>
    <t>S0453</t>
  </si>
  <si>
    <t>CUST0453</t>
  </si>
  <si>
    <t>Hahn, Smith and Wilson Tesla</t>
  </si>
  <si>
    <t>S0454</t>
  </si>
  <si>
    <t>CUST0454</t>
  </si>
  <si>
    <t>Pacheco PLC Tesla</t>
  </si>
  <si>
    <t>S0455</t>
  </si>
  <si>
    <t>CUST0455</t>
  </si>
  <si>
    <t>Cook, Brown and Stuart Tesla</t>
  </si>
  <si>
    <t>S0456</t>
  </si>
  <si>
    <t>CUST0456</t>
  </si>
  <si>
    <t>Hayes, Tyler and Peterson Tesla</t>
  </si>
  <si>
    <t>S0457</t>
  </si>
  <si>
    <t>CUST0457</t>
  </si>
  <si>
    <t>Singleton Group Tesla</t>
  </si>
  <si>
    <t>S0458</t>
  </si>
  <si>
    <t>CUST0458</t>
  </si>
  <si>
    <t>Cobb, Romero and Evans Tesla</t>
  </si>
  <si>
    <t>S0459</t>
  </si>
  <si>
    <t>CUST0459</t>
  </si>
  <si>
    <t>Crosby-Barnett Tesla</t>
  </si>
  <si>
    <t>S0460</t>
  </si>
  <si>
    <t>CUST0460</t>
  </si>
  <si>
    <t>Jimenez Group Tesla</t>
  </si>
  <si>
    <t>S0461</t>
  </si>
  <si>
    <t>CUST0461</t>
  </si>
  <si>
    <t>Moore PLC Tesla</t>
  </si>
  <si>
    <t>S0462</t>
  </si>
  <si>
    <t>CUST0462</t>
  </si>
  <si>
    <t>Roberts-Caldwell Tesla</t>
  </si>
  <si>
    <t>S0463</t>
  </si>
  <si>
    <t>CUST0463</t>
  </si>
  <si>
    <t>Alexander, Watts and Spencer Tesla</t>
  </si>
  <si>
    <t>S0464</t>
  </si>
  <si>
    <t>CUST0464</t>
  </si>
  <si>
    <t>Hughes Group Tesla</t>
  </si>
  <si>
    <t>S0465</t>
  </si>
  <si>
    <t>CUST0465</t>
  </si>
  <si>
    <t>Stone LLC Tesla</t>
  </si>
  <si>
    <t>S0466</t>
  </si>
  <si>
    <t>CUST0466</t>
  </si>
  <si>
    <t>Hall-Robertson Tesla</t>
  </si>
  <si>
    <t>S0467</t>
  </si>
  <si>
    <t>CUST0467</t>
  </si>
  <si>
    <t>Woods Inc Tesla</t>
  </si>
  <si>
    <t>S0468</t>
  </si>
  <si>
    <t>CUST0468</t>
  </si>
  <si>
    <t>Hill, Glover and Hill Tesla</t>
  </si>
  <si>
    <t>S0469</t>
  </si>
  <si>
    <t>CUST0469</t>
  </si>
  <si>
    <t>Stanton-Blackwell Tesla</t>
  </si>
  <si>
    <t>S0470</t>
  </si>
  <si>
    <t>CUST0470</t>
  </si>
  <si>
    <t>Mcdonald Inc Tesla</t>
  </si>
  <si>
    <t>S0471</t>
  </si>
  <si>
    <t>CUST0471</t>
  </si>
  <si>
    <t>Flowers-Hayes Tesla</t>
  </si>
  <si>
    <t>S0472</t>
  </si>
  <si>
    <t>CUST0472</t>
  </si>
  <si>
    <t>Davis-Huber Tesla</t>
  </si>
  <si>
    <t>S0473</t>
  </si>
  <si>
    <t>CUST0473</t>
  </si>
  <si>
    <t>Johnson-Heath Tesla</t>
  </si>
  <si>
    <t>S0474</t>
  </si>
  <si>
    <t>CUST0474</t>
  </si>
  <si>
    <t>Hodges, Phelps and Mcdonald Tesla</t>
  </si>
  <si>
    <t>S0475</t>
  </si>
  <si>
    <t>CUST0475</t>
  </si>
  <si>
    <t>Rodriguez-Wallace Tesla</t>
  </si>
  <si>
    <t>S0476</t>
  </si>
  <si>
    <t>CUST0476</t>
  </si>
  <si>
    <t>Hester Ltd Tesla</t>
  </si>
  <si>
    <t>S0477</t>
  </si>
  <si>
    <t>CUST0477</t>
  </si>
  <si>
    <t>Smith Group Tesla</t>
  </si>
  <si>
    <t>S0478</t>
  </si>
  <si>
    <t>CUST0478</t>
  </si>
  <si>
    <t>Short-Phillips Tesla</t>
  </si>
  <si>
    <t>S0479</t>
  </si>
  <si>
    <t>CUST0479</t>
  </si>
  <si>
    <t>Taylor, Mendoza and Vasquez Tesla</t>
  </si>
  <si>
    <t>S0480</t>
  </si>
  <si>
    <t>CUST0480</t>
  </si>
  <si>
    <t>Hall-Allen Tesla</t>
  </si>
  <si>
    <t>S0481</t>
  </si>
  <si>
    <t>CUST0481</t>
  </si>
  <si>
    <t>Sutton Ltd Tesla</t>
  </si>
  <si>
    <t>S0482</t>
  </si>
  <si>
    <t>CUST0482</t>
  </si>
  <si>
    <t>Moss Group Tesla</t>
  </si>
  <si>
    <t>S0483</t>
  </si>
  <si>
    <t>CUST0483</t>
  </si>
  <si>
    <t>Smith, Lam and Smith Tesla</t>
  </si>
  <si>
    <t>S0484</t>
  </si>
  <si>
    <t>CUST0484</t>
  </si>
  <si>
    <t>Patel, Johnson and Nguyen Tesla</t>
  </si>
  <si>
    <t>S0485</t>
  </si>
  <si>
    <t>CUST0485</t>
  </si>
  <si>
    <t>Henry, Anderson and Shields Tesla</t>
  </si>
  <si>
    <t>S0486</t>
  </si>
  <si>
    <t>CUST0486</t>
  </si>
  <si>
    <t>Powell LLC Tesla</t>
  </si>
  <si>
    <t>S0487</t>
  </si>
  <si>
    <t>CUST0487</t>
  </si>
  <si>
    <t>Fisher, Harrington and Burnett Tesla</t>
  </si>
  <si>
    <t>S0488</t>
  </si>
  <si>
    <t>CUST0488</t>
  </si>
  <si>
    <t>Jones PLC Tesla</t>
  </si>
  <si>
    <t>S0489</t>
  </si>
  <si>
    <t>CUST0489</t>
  </si>
  <si>
    <t>Horton-Mcclure Tesla</t>
  </si>
  <si>
    <t>S0490</t>
  </si>
  <si>
    <t>CUST0490</t>
  </si>
  <si>
    <t>Nelson, Johnson and Reynolds Tesla</t>
  </si>
  <si>
    <t>S0491</t>
  </si>
  <si>
    <t>CUST0491</t>
  </si>
  <si>
    <t>Huang, Pratt and Rivera Tesla</t>
  </si>
  <si>
    <t>S0492</t>
  </si>
  <si>
    <t>CUST0492</t>
  </si>
  <si>
    <t>Jones, Smith and Nielsen Tesla</t>
  </si>
  <si>
    <t>S0493</t>
  </si>
  <si>
    <t>CUST0493</t>
  </si>
  <si>
    <t>Nelson LLC Tesla</t>
  </si>
  <si>
    <t>S0494</t>
  </si>
  <si>
    <t>CUST0494</t>
  </si>
  <si>
    <t>Wilson-Tyler Tesla</t>
  </si>
  <si>
    <t>S0495</t>
  </si>
  <si>
    <t>CUST0495</t>
  </si>
  <si>
    <t>Moore Ltd Tesla</t>
  </si>
  <si>
    <t>S0496</t>
  </si>
  <si>
    <t>CUST0496</t>
  </si>
  <si>
    <t>Dickson, Swanson and Stephenson Tesla</t>
  </si>
  <si>
    <t>S0497</t>
  </si>
  <si>
    <t>CUST0497</t>
  </si>
  <si>
    <t>Howe-Levy Tesla</t>
  </si>
  <si>
    <t>S0498</t>
  </si>
  <si>
    <t>CUST0498</t>
  </si>
  <si>
    <t>Smith, Johnson and Hawkins Tesla</t>
  </si>
  <si>
    <t>S0499</t>
  </si>
  <si>
    <t>CUST0499</t>
  </si>
  <si>
    <t>Reed-Wheeler Tesla</t>
  </si>
  <si>
    <t>S0500</t>
  </si>
  <si>
    <t>CUST0500</t>
  </si>
  <si>
    <t>Valentine and Sons Tesla</t>
  </si>
  <si>
    <t>S0501</t>
  </si>
  <si>
    <t>CUST0501</t>
  </si>
  <si>
    <t>Robinson, Hahn and Torres Tesla</t>
  </si>
  <si>
    <t>S0502</t>
  </si>
  <si>
    <t>CUST0502</t>
  </si>
  <si>
    <t>Gordon-Johnson Tesla</t>
  </si>
  <si>
    <t>S0503</t>
  </si>
  <si>
    <t>CUST0503</t>
  </si>
  <si>
    <t>Brown Inc Tesla</t>
  </si>
  <si>
    <t>S0504</t>
  </si>
  <si>
    <t>CUST0504</t>
  </si>
  <si>
    <t>Obrien Inc Tesla</t>
  </si>
  <si>
    <t>S0505</t>
  </si>
  <si>
    <t>CUST0505</t>
  </si>
  <si>
    <t>Ortiz, Thompson and Alexander Tesla</t>
  </si>
  <si>
    <t>S0506</t>
  </si>
  <si>
    <t>CUST0506</t>
  </si>
  <si>
    <t>Brown-Clayton Tesla</t>
  </si>
  <si>
    <t>S0507</t>
  </si>
  <si>
    <t>CUST0507</t>
  </si>
  <si>
    <t>Cortez, Greene and Tucker Tesla</t>
  </si>
  <si>
    <t>S0508</t>
  </si>
  <si>
    <t>CUST0508</t>
  </si>
  <si>
    <t>Freeman-Martinez Tesla</t>
  </si>
  <si>
    <t>S0509</t>
  </si>
  <si>
    <t>CUST0509</t>
  </si>
  <si>
    <t>Harvey-Pruitt Tesla</t>
  </si>
  <si>
    <t>S0510</t>
  </si>
  <si>
    <t>CUST0510</t>
  </si>
  <si>
    <t>Wong PLC Tesla</t>
  </si>
  <si>
    <t>S0511</t>
  </si>
  <si>
    <t>CUST0511</t>
  </si>
  <si>
    <t>Raymond-Johnson Tesla</t>
  </si>
  <si>
    <t>S0512</t>
  </si>
  <si>
    <t>CUST0512</t>
  </si>
  <si>
    <t>Walker LLC Tesla</t>
  </si>
  <si>
    <t>S0513</t>
  </si>
  <si>
    <t>CUST0513</t>
  </si>
  <si>
    <t>Duncan Group Tesla</t>
  </si>
  <si>
    <t>S0514</t>
  </si>
  <si>
    <t>CUST0514</t>
  </si>
  <si>
    <t>Rowland, Brooks and Myers Tesla</t>
  </si>
  <si>
    <t>S0515</t>
  </si>
  <si>
    <t>CUST0515</t>
  </si>
  <si>
    <t>Rose LLC Tesla</t>
  </si>
  <si>
    <t>S0516</t>
  </si>
  <si>
    <t>CUST0516</t>
  </si>
  <si>
    <t>Cabrera-Dickson Tesla</t>
  </si>
  <si>
    <t>S0517</t>
  </si>
  <si>
    <t>CUST0517</t>
  </si>
  <si>
    <t>Burnett-Mendoza Tesla</t>
  </si>
  <si>
    <t>S0518</t>
  </si>
  <si>
    <t>CUST0518</t>
  </si>
  <si>
    <t>Delgado-Strong Tesla</t>
  </si>
  <si>
    <t>S0519</t>
  </si>
  <si>
    <t>CUST0519</t>
  </si>
  <si>
    <t>Smith-Jones Tesla</t>
  </si>
  <si>
    <t>S0520</t>
  </si>
  <si>
    <t>CUST0520</t>
  </si>
  <si>
    <t>Holloway, Olsen and Spencer Tesla</t>
  </si>
  <si>
    <t>S0521</t>
  </si>
  <si>
    <t>CUST0521</t>
  </si>
  <si>
    <t>Brewer-Warner Tesla</t>
  </si>
  <si>
    <t>S0522</t>
  </si>
  <si>
    <t>CUST0522</t>
  </si>
  <si>
    <t>Perez LLC Tesla</t>
  </si>
  <si>
    <t>S0523</t>
  </si>
  <si>
    <t>CUST0523</t>
  </si>
  <si>
    <t>Aguilar-King Tesla</t>
  </si>
  <si>
    <t>S0524</t>
  </si>
  <si>
    <t>CUST0524</t>
  </si>
  <si>
    <t>Duncan, Hill and Johnson Tesla</t>
  </si>
  <si>
    <t>S0525</t>
  </si>
  <si>
    <t>CUST0525</t>
  </si>
  <si>
    <t>Murray Group Tesla</t>
  </si>
  <si>
    <t>S0526</t>
  </si>
  <si>
    <t>CUST0526</t>
  </si>
  <si>
    <t>S0527</t>
  </si>
  <si>
    <t>CUST0527</t>
  </si>
  <si>
    <t>Carlson-Rodriguez Tesla</t>
  </si>
  <si>
    <t>S0528</t>
  </si>
  <si>
    <t>CUST0528</t>
  </si>
  <si>
    <t>Pruitt-Gamble Tesla</t>
  </si>
  <si>
    <t>S0529</t>
  </si>
  <si>
    <t>CUST0529</t>
  </si>
  <si>
    <t>Martinez-Simmons Tesla</t>
  </si>
  <si>
    <t>S0530</t>
  </si>
  <si>
    <t>CUST0530</t>
  </si>
  <si>
    <t>Lee, Hawkins and Kelly Tesla</t>
  </si>
  <si>
    <t>S0531</t>
  </si>
  <si>
    <t>CUST0531</t>
  </si>
  <si>
    <t>Moore, Newton and Baird Tesla</t>
  </si>
  <si>
    <t>S0532</t>
  </si>
  <si>
    <t>CUST0532</t>
  </si>
  <si>
    <t>Thompson, Powell and Gonzalez Tesla</t>
  </si>
  <si>
    <t>S0533</t>
  </si>
  <si>
    <t>CUST0533</t>
  </si>
  <si>
    <t>Jones LLC Tesla</t>
  </si>
  <si>
    <t>S0534</t>
  </si>
  <si>
    <t>CUST0534</t>
  </si>
  <si>
    <t>Johnson, Ray and Jones Tesla</t>
  </si>
  <si>
    <t>S0535</t>
  </si>
  <si>
    <t>CUST0535</t>
  </si>
  <si>
    <t>Smith PLC Tesla</t>
  </si>
  <si>
    <t>S0536</t>
  </si>
  <si>
    <t>CUST0536</t>
  </si>
  <si>
    <t>Lewis-Daugherty Tesla</t>
  </si>
  <si>
    <t>S0537</t>
  </si>
  <si>
    <t>CUST0537</t>
  </si>
  <si>
    <t>Ryan Group Tesla</t>
  </si>
  <si>
    <t>S0538</t>
  </si>
  <si>
    <t>CUST0538</t>
  </si>
  <si>
    <t>Jones, Butler and Robbins Tesla</t>
  </si>
  <si>
    <t>S0539</t>
  </si>
  <si>
    <t>CUST0539</t>
  </si>
  <si>
    <t>Ramos-Sanders Tesla</t>
  </si>
  <si>
    <t>S0540</t>
  </si>
  <si>
    <t>CUST0540</t>
  </si>
  <si>
    <t>Jimenez-Jones Tesla</t>
  </si>
  <si>
    <t>S0541</t>
  </si>
  <si>
    <t>CUST0541</t>
  </si>
  <si>
    <t>King-Alexander Tesla</t>
  </si>
  <si>
    <t>S0542</t>
  </si>
  <si>
    <t>CUST0542</t>
  </si>
  <si>
    <t>Carney-Miles Tesla</t>
  </si>
  <si>
    <t>S0543</t>
  </si>
  <si>
    <t>CUST0543</t>
  </si>
  <si>
    <t>Zuniga PLC Tesla</t>
  </si>
  <si>
    <t>S0544</t>
  </si>
  <si>
    <t>CUST0544</t>
  </si>
  <si>
    <t>Schaefer, Curry and Smith Tesla</t>
  </si>
  <si>
    <t>S0545</t>
  </si>
  <si>
    <t>CUST0545</t>
  </si>
  <si>
    <t>Barrera Ltd Tesla</t>
  </si>
  <si>
    <t>S0546</t>
  </si>
  <si>
    <t>CUST0546</t>
  </si>
  <si>
    <t>Griffin-Peterson Tesla</t>
  </si>
  <si>
    <t>S0547</t>
  </si>
  <si>
    <t>CUST0547</t>
  </si>
  <si>
    <t>Garza-Jones Tesla</t>
  </si>
  <si>
    <t>S0548</t>
  </si>
  <si>
    <t>CUST0548</t>
  </si>
  <si>
    <t>Harris LLC Tesla</t>
  </si>
  <si>
    <t>S0549</t>
  </si>
  <si>
    <t>CUST0549</t>
  </si>
  <si>
    <t>Ortega PLC Tesla</t>
  </si>
  <si>
    <t>S0550</t>
  </si>
  <si>
    <t>CUST0550</t>
  </si>
  <si>
    <t>Thomas Group Tesla</t>
  </si>
  <si>
    <t>S0551</t>
  </si>
  <si>
    <t>CUST0551</t>
  </si>
  <si>
    <t>English-Miller Tesla</t>
  </si>
  <si>
    <t>S0552</t>
  </si>
  <si>
    <t>CUST0552</t>
  </si>
  <si>
    <t>Chang-Simpson Tesla</t>
  </si>
  <si>
    <t>S0553</t>
  </si>
  <si>
    <t>CUST0553</t>
  </si>
  <si>
    <t>Flores LLC Tesla</t>
  </si>
  <si>
    <t>S0554</t>
  </si>
  <si>
    <t>CUST0554</t>
  </si>
  <si>
    <t>Miller Group Tesla</t>
  </si>
  <si>
    <t>S0555</t>
  </si>
  <si>
    <t>CUST0555</t>
  </si>
  <si>
    <t>Thornton, Gonzales and Buckley Tesla</t>
  </si>
  <si>
    <t>S0556</t>
  </si>
  <si>
    <t>CUST0556</t>
  </si>
  <si>
    <t>Meza-Smith Tesla</t>
  </si>
  <si>
    <t>S0557</t>
  </si>
  <si>
    <t>CUST0557</t>
  </si>
  <si>
    <t>Carlson Group Tesla</t>
  </si>
  <si>
    <t>S0558</t>
  </si>
  <si>
    <t>CUST0558</t>
  </si>
  <si>
    <t>Moreno, Lee and Smith Tesla</t>
  </si>
  <si>
    <t>S0559</t>
  </si>
  <si>
    <t>CUST0559</t>
  </si>
  <si>
    <t>Vega PLC Tesla</t>
  </si>
  <si>
    <t>S0560</t>
  </si>
  <si>
    <t>CUST0560</t>
  </si>
  <si>
    <t>Patel-Nichols Tesla</t>
  </si>
  <si>
    <t>S0561</t>
  </si>
  <si>
    <t>CUST0561</t>
  </si>
  <si>
    <t>Juarez, Davidson and Allen Tesla</t>
  </si>
  <si>
    <t>S0562</t>
  </si>
  <si>
    <t>CUST0562</t>
  </si>
  <si>
    <t>Young and Sons Tesla</t>
  </si>
  <si>
    <t>S0563</t>
  </si>
  <si>
    <t>CUST0563</t>
  </si>
  <si>
    <t>Craig-Rivers Tesla</t>
  </si>
  <si>
    <t>S0564</t>
  </si>
  <si>
    <t>CUST0564</t>
  </si>
  <si>
    <t>Anderson and Sons Tesla</t>
  </si>
  <si>
    <t>S0565</t>
  </si>
  <si>
    <t>CUST0565</t>
  </si>
  <si>
    <t>Arnold and Sons Tesla</t>
  </si>
  <si>
    <t>S0566</t>
  </si>
  <si>
    <t>CUST0566</t>
  </si>
  <si>
    <t>Davis, Robertson and Gilmore Tesla</t>
  </si>
  <si>
    <t>S0567</t>
  </si>
  <si>
    <t>CUST0567</t>
  </si>
  <si>
    <t>Moore, Campbell and Bailey Tesla</t>
  </si>
  <si>
    <t>S0568</t>
  </si>
  <si>
    <t>CUST0568</t>
  </si>
  <si>
    <t>Farmer Group Tesla</t>
  </si>
  <si>
    <t>S0569</t>
  </si>
  <si>
    <t>CUST0569</t>
  </si>
  <si>
    <t>Jimenez-Porter Tesla</t>
  </si>
  <si>
    <t>S0570</t>
  </si>
  <si>
    <t>CUST0570</t>
  </si>
  <si>
    <t>Sanchez, Miller and Williams Tesla</t>
  </si>
  <si>
    <t>S0571</t>
  </si>
  <si>
    <t>CUST0571</t>
  </si>
  <si>
    <t>Hurley Ltd Tesla</t>
  </si>
  <si>
    <t>S0572</t>
  </si>
  <si>
    <t>CUST0572</t>
  </si>
  <si>
    <t>Ewing-King Tesla</t>
  </si>
  <si>
    <t>S0573</t>
  </si>
  <si>
    <t>CUST0573</t>
  </si>
  <si>
    <t>Garner-Torres Tesla</t>
  </si>
  <si>
    <t>S0574</t>
  </si>
  <si>
    <t>CUST0574</t>
  </si>
  <si>
    <t>Lopez-Watkins Tesla</t>
  </si>
  <si>
    <t>S0575</t>
  </si>
  <si>
    <t>CUST0575</t>
  </si>
  <si>
    <t>Strickland Inc Tesla</t>
  </si>
  <si>
    <t>S0576</t>
  </si>
  <si>
    <t>CUST0576</t>
  </si>
  <si>
    <t>Robinson, Green and Moore Tesla</t>
  </si>
  <si>
    <t>S0577</t>
  </si>
  <si>
    <t>CUST0577</t>
  </si>
  <si>
    <t>Ibarra-Franklin Tesla</t>
  </si>
  <si>
    <t>S0578</t>
  </si>
  <si>
    <t>CUST0578</t>
  </si>
  <si>
    <t>S0579</t>
  </si>
  <si>
    <t>CUST0579</t>
  </si>
  <si>
    <t>Wright, Lewis and Smith Tesla</t>
  </si>
  <si>
    <t>S0580</t>
  </si>
  <si>
    <t>CUST0580</t>
  </si>
  <si>
    <t>Hardy PLC Tesla</t>
  </si>
  <si>
    <t>S0581</t>
  </si>
  <si>
    <t>CUST0581</t>
  </si>
  <si>
    <t>Kelley LLC Tesla</t>
  </si>
  <si>
    <t>S0582</t>
  </si>
  <si>
    <t>CUST0582</t>
  </si>
  <si>
    <t>Lee, Jackson and Parrish Tesla</t>
  </si>
  <si>
    <t>S0583</t>
  </si>
  <si>
    <t>CUST0583</t>
  </si>
  <si>
    <t>Ingram Group Tesla</t>
  </si>
  <si>
    <t>S0584</t>
  </si>
  <si>
    <t>CUST0584</t>
  </si>
  <si>
    <t>Duncan-Carpenter Tesla</t>
  </si>
  <si>
    <t>S0585</t>
  </si>
  <si>
    <t>CUST0585</t>
  </si>
  <si>
    <t>Moreno, Fox and Baker Tesla</t>
  </si>
  <si>
    <t>S0586</t>
  </si>
  <si>
    <t>CUST0586</t>
  </si>
  <si>
    <t>Rice PLC Tesla</t>
  </si>
  <si>
    <t>S0587</t>
  </si>
  <si>
    <t>CUST0587</t>
  </si>
  <si>
    <t>Reyes-Rivera Tesla</t>
  </si>
  <si>
    <t>S0588</t>
  </si>
  <si>
    <t>CUST0588</t>
  </si>
  <si>
    <t>Jones-Winters Tesla</t>
  </si>
  <si>
    <t>S0589</t>
  </si>
  <si>
    <t>CUST0589</t>
  </si>
  <si>
    <t>Paul, Smith and Vazquez Tesla</t>
  </si>
  <si>
    <t>S0590</t>
  </si>
  <si>
    <t>CUST0590</t>
  </si>
  <si>
    <t>Burke and Sons Tesla</t>
  </si>
  <si>
    <t>S0591</t>
  </si>
  <si>
    <t>CUST0591</t>
  </si>
  <si>
    <t>Jimenez LLC Tesla</t>
  </si>
  <si>
    <t>S0592</t>
  </si>
  <si>
    <t>CUST0592</t>
  </si>
  <si>
    <t>Romero, Burke and Lee Tesla</t>
  </si>
  <si>
    <t>S0593</t>
  </si>
  <si>
    <t>CUST0593</t>
  </si>
  <si>
    <t>Lowe Group Tesla</t>
  </si>
  <si>
    <t>S0594</t>
  </si>
  <si>
    <t>CUST0594</t>
  </si>
  <si>
    <t>Kent, Myers and Powers Tesla</t>
  </si>
  <si>
    <t>S0595</t>
  </si>
  <si>
    <t>CUST0595</t>
  </si>
  <si>
    <t>Campbell Group Tesla</t>
  </si>
  <si>
    <t>S0596</t>
  </si>
  <si>
    <t>CUST0596</t>
  </si>
  <si>
    <t>Bradley, Stone and Nunez Tesla</t>
  </si>
  <si>
    <t>S0597</t>
  </si>
  <si>
    <t>CUST0597</t>
  </si>
  <si>
    <t>Gill-Hill Tesla</t>
  </si>
  <si>
    <t>S0598</t>
  </si>
  <si>
    <t>CUST0598</t>
  </si>
  <si>
    <t>Massey-Todd Tesla</t>
  </si>
  <si>
    <t>S0599</t>
  </si>
  <si>
    <t>CUST0599</t>
  </si>
  <si>
    <t>Scott, Brown and Schmitt Tesla</t>
  </si>
  <si>
    <t>S0600</t>
  </si>
  <si>
    <t>CUST0600</t>
  </si>
  <si>
    <t>Frederick-Carey Tesla</t>
  </si>
  <si>
    <t>S0601</t>
  </si>
  <si>
    <t>CUST0601</t>
  </si>
  <si>
    <t>Nguyen-Wall Tesla</t>
  </si>
  <si>
    <t>S0602</t>
  </si>
  <si>
    <t>CUST0602</t>
  </si>
  <si>
    <t>Anderson-Huang Tesla</t>
  </si>
  <si>
    <t>S0603</t>
  </si>
  <si>
    <t>CUST0603</t>
  </si>
  <si>
    <t>Rice LLC Tesla</t>
  </si>
  <si>
    <t>S0604</t>
  </si>
  <si>
    <t>CUST0604</t>
  </si>
  <si>
    <t>Trujillo-Key Tesla</t>
  </si>
  <si>
    <t>S0605</t>
  </si>
  <si>
    <t>CUST0605</t>
  </si>
  <si>
    <t>Calhoun-Patel Tesla</t>
  </si>
  <si>
    <t>S0606</t>
  </si>
  <si>
    <t>CUST0606</t>
  </si>
  <si>
    <t>Gordon, Williams and Olson Tesla</t>
  </si>
  <si>
    <t>S0607</t>
  </si>
  <si>
    <t>CUST0607</t>
  </si>
  <si>
    <t>Smith-Curtis Tesla</t>
  </si>
  <si>
    <t>S0608</t>
  </si>
  <si>
    <t>CUST0608</t>
  </si>
  <si>
    <t>Rivera LLC Tesla</t>
  </si>
  <si>
    <t>S0609</t>
  </si>
  <si>
    <t>CUST0609</t>
  </si>
  <si>
    <t>Carey Ltd Tesla</t>
  </si>
  <si>
    <t>S0610</t>
  </si>
  <si>
    <t>CUST0610</t>
  </si>
  <si>
    <t>Wiggins-Page Tesla</t>
  </si>
  <si>
    <t>S0611</t>
  </si>
  <si>
    <t>CUST0611</t>
  </si>
  <si>
    <t>Harris, Harrison and Baker Tesla</t>
  </si>
  <si>
    <t>S0612</t>
  </si>
  <si>
    <t>CUST0612</t>
  </si>
  <si>
    <t>Smith Inc Tesla</t>
  </si>
  <si>
    <t>S0613</t>
  </si>
  <si>
    <t>CUST0613</t>
  </si>
  <si>
    <t>Russell and Sons Tesla</t>
  </si>
  <si>
    <t>S0614</t>
  </si>
  <si>
    <t>CUST0614</t>
  </si>
  <si>
    <t>Rodriguez, White and Obrien Tesla</t>
  </si>
  <si>
    <t>S0615</t>
  </si>
  <si>
    <t>CUST0615</t>
  </si>
  <si>
    <t>Brady-May Tesla</t>
  </si>
  <si>
    <t>S0616</t>
  </si>
  <si>
    <t>CUST0616</t>
  </si>
  <si>
    <t>Martin, Price and Carpenter Tesla</t>
  </si>
  <si>
    <t>S0617</t>
  </si>
  <si>
    <t>CUST0617</t>
  </si>
  <si>
    <t>Young-Ellis Tesla</t>
  </si>
  <si>
    <t>S0618</t>
  </si>
  <si>
    <t>CUST0618</t>
  </si>
  <si>
    <t>S0619</t>
  </si>
  <si>
    <t>CUST0619</t>
  </si>
  <si>
    <t>Morris LLC Tesla</t>
  </si>
  <si>
    <t>S0620</t>
  </si>
  <si>
    <t>CUST0620</t>
  </si>
  <si>
    <t>Curtis-Fowler Tesla</t>
  </si>
  <si>
    <t>S0621</t>
  </si>
  <si>
    <t>CUST0621</t>
  </si>
  <si>
    <t>Barrett and Sons Tesla</t>
  </si>
  <si>
    <t>S0622</t>
  </si>
  <si>
    <t>CUST0622</t>
  </si>
  <si>
    <t>Turner, Kirk and Martinez Tesla</t>
  </si>
  <si>
    <t>S0623</t>
  </si>
  <si>
    <t>CUST0623</t>
  </si>
  <si>
    <t>S0624</t>
  </si>
  <si>
    <t>CUST0624</t>
  </si>
  <si>
    <t>S0625</t>
  </si>
  <si>
    <t>CUST0625</t>
  </si>
  <si>
    <t>Landry-Wise Tesla</t>
  </si>
  <si>
    <t>S0626</t>
  </si>
  <si>
    <t>CUST0626</t>
  </si>
  <si>
    <t>Hodges, Gonzalez and Smith Tesla</t>
  </si>
  <si>
    <t>S0627</t>
  </si>
  <si>
    <t>CUST0627</t>
  </si>
  <si>
    <t>Hale, Pollard and Dean Tesla</t>
  </si>
  <si>
    <t>S0628</t>
  </si>
  <si>
    <t>CUST0628</t>
  </si>
  <si>
    <t>Allen PLC Tesla</t>
  </si>
  <si>
    <t>S0629</t>
  </si>
  <si>
    <t>CUST0629</t>
  </si>
  <si>
    <t>Cooper-Prince Tesla</t>
  </si>
  <si>
    <t>S0630</t>
  </si>
  <si>
    <t>CUST0630</t>
  </si>
  <si>
    <t>Clark and Sons Tesla</t>
  </si>
  <si>
    <t>S0631</t>
  </si>
  <si>
    <t>CUST0631</t>
  </si>
  <si>
    <t>Morales-Berg Tesla</t>
  </si>
  <si>
    <t>S0632</t>
  </si>
  <si>
    <t>CUST0632</t>
  </si>
  <si>
    <t>Thompson-Carpenter Tesla</t>
  </si>
  <si>
    <t>S0633</t>
  </si>
  <si>
    <t>CUST0633</t>
  </si>
  <si>
    <t>Brown, Parker and Burns Tesla</t>
  </si>
  <si>
    <t>S0634</t>
  </si>
  <si>
    <t>CUST0634</t>
  </si>
  <si>
    <t>Larsen-Allison Tesla</t>
  </si>
  <si>
    <t>S0635</t>
  </si>
  <si>
    <t>CUST0635</t>
  </si>
  <si>
    <t>Roberts-Navarro Tesla</t>
  </si>
  <si>
    <t>S0636</t>
  </si>
  <si>
    <t>CUST0636</t>
  </si>
  <si>
    <t>Solis LLC Tesla</t>
  </si>
  <si>
    <t>S0637</t>
  </si>
  <si>
    <t>CUST0637</t>
  </si>
  <si>
    <t>Patel-Thomas Tesla</t>
  </si>
  <si>
    <t>S0638</t>
  </si>
  <si>
    <t>CUST0638</t>
  </si>
  <si>
    <t>Davis PLC Tesla</t>
  </si>
  <si>
    <t>S0639</t>
  </si>
  <si>
    <t>CUST0639</t>
  </si>
  <si>
    <t>Khan-Reynolds Tesla</t>
  </si>
  <si>
    <t>S0640</t>
  </si>
  <si>
    <t>CUST0640</t>
  </si>
  <si>
    <t>Lopez and Sons Tesla</t>
  </si>
  <si>
    <t>S0641</t>
  </si>
  <si>
    <t>CUST0641</t>
  </si>
  <si>
    <t>S0642</t>
  </si>
  <si>
    <t>CUST0642</t>
  </si>
  <si>
    <t>Hubbard-Escobar Tesla</t>
  </si>
  <si>
    <t>S0643</t>
  </si>
  <si>
    <t>CUST0643</t>
  </si>
  <si>
    <t>Lynch LLC Tesla</t>
  </si>
  <si>
    <t>S0644</t>
  </si>
  <si>
    <t>CUST0644</t>
  </si>
  <si>
    <t>Preston-Chen Tesla</t>
  </si>
  <si>
    <t>S0645</t>
  </si>
  <si>
    <t>CUST0645</t>
  </si>
  <si>
    <t>Walters Ltd Tesla</t>
  </si>
  <si>
    <t>S0646</t>
  </si>
  <si>
    <t>CUST0646</t>
  </si>
  <si>
    <t>S0647</t>
  </si>
  <si>
    <t>CUST0647</t>
  </si>
  <si>
    <t>Thompson Group Tesla</t>
  </si>
  <si>
    <t>S0648</t>
  </si>
  <si>
    <t>CUST0648</t>
  </si>
  <si>
    <t>Morgan Inc Tesla</t>
  </si>
  <si>
    <t>S0649</t>
  </si>
  <si>
    <t>CUST0649</t>
  </si>
  <si>
    <t>Thomas, Tapia and Edwards Tesla</t>
  </si>
  <si>
    <t>S0650</t>
  </si>
  <si>
    <t>CUST0650</t>
  </si>
  <si>
    <t>Fletcher-Tucker Tesla</t>
  </si>
  <si>
    <t>S0651</t>
  </si>
  <si>
    <t>CUST0651</t>
  </si>
  <si>
    <t>Moody, Browning and Roy Tesla</t>
  </si>
  <si>
    <t>S0652</t>
  </si>
  <si>
    <t>CUST0652</t>
  </si>
  <si>
    <t>Franklin-Guerrero Tesla</t>
  </si>
  <si>
    <t>S0653</t>
  </si>
  <si>
    <t>CUST0653</t>
  </si>
  <si>
    <t>Wilson LLC Tesla</t>
  </si>
  <si>
    <t>S0654</t>
  </si>
  <si>
    <t>CUST0654</t>
  </si>
  <si>
    <t>Gonzalez-Nelson Tesla</t>
  </si>
  <si>
    <t>S0655</t>
  </si>
  <si>
    <t>CUST0655</t>
  </si>
  <si>
    <t>Foley LLC Tesla</t>
  </si>
  <si>
    <t>S0656</t>
  </si>
  <si>
    <t>CUST0656</t>
  </si>
  <si>
    <t>Moore Inc Tesla</t>
  </si>
  <si>
    <t>S0657</t>
  </si>
  <si>
    <t>CUST0657</t>
  </si>
  <si>
    <t>Poole-Dyer Tesla</t>
  </si>
  <si>
    <t>S0658</t>
  </si>
  <si>
    <t>CUST0658</t>
  </si>
  <si>
    <t>Jones, Ali and Price Tesla</t>
  </si>
  <si>
    <t>S0659</t>
  </si>
  <si>
    <t>CUST0659</t>
  </si>
  <si>
    <t>Washington and Sons Tesla</t>
  </si>
  <si>
    <t>S0660</t>
  </si>
  <si>
    <t>CUST0660</t>
  </si>
  <si>
    <t>Evans, Berry and Shaw Tesla</t>
  </si>
  <si>
    <t>S0661</t>
  </si>
  <si>
    <t>CUST0661</t>
  </si>
  <si>
    <t>Williams-Martinez Tesla</t>
  </si>
  <si>
    <t>S0662</t>
  </si>
  <si>
    <t>CUST0662</t>
  </si>
  <si>
    <t>Jackson Ltd Tesla</t>
  </si>
  <si>
    <t>S0663</t>
  </si>
  <si>
    <t>CUST0663</t>
  </si>
  <si>
    <t>Levine, Burnett and Wilkerson Tesla</t>
  </si>
  <si>
    <t>S0664</t>
  </si>
  <si>
    <t>CUST0664</t>
  </si>
  <si>
    <t>Knox PLC Tesla</t>
  </si>
  <si>
    <t>S0665</t>
  </si>
  <si>
    <t>CUST0665</t>
  </si>
  <si>
    <t>Williams, Gaines and Russo Tesla</t>
  </si>
  <si>
    <t>S0666</t>
  </si>
  <si>
    <t>CUST0666</t>
  </si>
  <si>
    <t>Gonzalez-Tyler Tesla</t>
  </si>
  <si>
    <t>S0667</t>
  </si>
  <si>
    <t>CUST0667</t>
  </si>
  <si>
    <t>Thomas, Buckley and Clark Tesla</t>
  </si>
  <si>
    <t>S0668</t>
  </si>
  <si>
    <t>CUST0668</t>
  </si>
  <si>
    <t>Richards, Castillo and Caldwell Tesla</t>
  </si>
  <si>
    <t>S0669</t>
  </si>
  <si>
    <t>CUST0669</t>
  </si>
  <si>
    <t>Chambers LLC Tesla</t>
  </si>
  <si>
    <t>S0670</t>
  </si>
  <si>
    <t>CUST0670</t>
  </si>
  <si>
    <t>Williams-Jacobson Tesla</t>
  </si>
  <si>
    <t>S0671</t>
  </si>
  <si>
    <t>CUST0671</t>
  </si>
  <si>
    <t>Martinez-Martinez Tesla</t>
  </si>
  <si>
    <t>S0672</t>
  </si>
  <si>
    <t>CUST0672</t>
  </si>
  <si>
    <t>Torres-Arroyo Tesla</t>
  </si>
  <si>
    <t>S0673</t>
  </si>
  <si>
    <t>CUST0673</t>
  </si>
  <si>
    <t>Hall, Atkinson and Pacheco Tesla</t>
  </si>
  <si>
    <t>S0674</t>
  </si>
  <si>
    <t>CUST0674</t>
  </si>
  <si>
    <t>Davis Group Tesla</t>
  </si>
  <si>
    <t>S0675</t>
  </si>
  <si>
    <t>CUST0675</t>
  </si>
  <si>
    <t>Bond PLC Tesla</t>
  </si>
  <si>
    <t>S0676</t>
  </si>
  <si>
    <t>CUST0676</t>
  </si>
  <si>
    <t>Rodriguez, Harris and Harris Tesla</t>
  </si>
  <si>
    <t>S0677</t>
  </si>
  <si>
    <t>CUST0677</t>
  </si>
  <si>
    <t>Nguyen LLC Tesla</t>
  </si>
  <si>
    <t>S0678</t>
  </si>
  <si>
    <t>CUST0678</t>
  </si>
  <si>
    <t>Scott-Carlson Tesla</t>
  </si>
  <si>
    <t>S0679</t>
  </si>
  <si>
    <t>CUST0679</t>
  </si>
  <si>
    <t>Dominguez-Lucas Tesla</t>
  </si>
  <si>
    <t>S0680</t>
  </si>
  <si>
    <t>CUST0680</t>
  </si>
  <si>
    <t>Cruz, May and Kelly Tesla</t>
  </si>
  <si>
    <t>S0681</t>
  </si>
  <si>
    <t>CUST0681</t>
  </si>
  <si>
    <t>Parsons PLC Tesla</t>
  </si>
  <si>
    <t>S0682</t>
  </si>
  <si>
    <t>CUST0682</t>
  </si>
  <si>
    <t>Johnson Group Tesla</t>
  </si>
  <si>
    <t>S0683</t>
  </si>
  <si>
    <t>CUST0683</t>
  </si>
  <si>
    <t>Simmons, Joseph and Crawford Tesla</t>
  </si>
  <si>
    <t>S0684</t>
  </si>
  <si>
    <t>CUST0684</t>
  </si>
  <si>
    <t>Hurley-Holden Tesla</t>
  </si>
  <si>
    <t>S0685</t>
  </si>
  <si>
    <t>CUST0685</t>
  </si>
  <si>
    <t>Duran-Vazquez Tesla</t>
  </si>
  <si>
    <t>S0686</t>
  </si>
  <si>
    <t>CUST0686</t>
  </si>
  <si>
    <t>Mahoney, Mcdonald and Patton Tesla</t>
  </si>
  <si>
    <t>S0687</t>
  </si>
  <si>
    <t>CUST0687</t>
  </si>
  <si>
    <t>Dunn-Wilson Tesla</t>
  </si>
  <si>
    <t>S0688</t>
  </si>
  <si>
    <t>CUST0688</t>
  </si>
  <si>
    <t>Thomas LLC Tesla</t>
  </si>
  <si>
    <t>S0689</t>
  </si>
  <si>
    <t>CUST0689</t>
  </si>
  <si>
    <t>Webb-Roberts Tesla</t>
  </si>
  <si>
    <t>S0690</t>
  </si>
  <si>
    <t>CUST0690</t>
  </si>
  <si>
    <t>Charles, Chen and Stevens Tesla</t>
  </si>
  <si>
    <t>S0691</t>
  </si>
  <si>
    <t>CUST0691</t>
  </si>
  <si>
    <t>Brewer-Vasquez Tesla</t>
  </si>
  <si>
    <t>S0692</t>
  </si>
  <si>
    <t>CUST0692</t>
  </si>
  <si>
    <t>Bartlett, Smith and Fuller Tesla</t>
  </si>
  <si>
    <t>S0693</t>
  </si>
  <si>
    <t>CUST0693</t>
  </si>
  <si>
    <t>S0694</t>
  </si>
  <si>
    <t>CUST0694</t>
  </si>
  <si>
    <t>Coleman-Robertson Tesla</t>
  </si>
  <si>
    <t>S0695</t>
  </si>
  <si>
    <t>CUST0695</t>
  </si>
  <si>
    <t>Case-Short Tesla</t>
  </si>
  <si>
    <t>S0696</t>
  </si>
  <si>
    <t>CUST0696</t>
  </si>
  <si>
    <t>Beck LLC Tesla</t>
  </si>
  <si>
    <t>S0697</t>
  </si>
  <si>
    <t>CUST0697</t>
  </si>
  <si>
    <t>Mccoy and Sons Tesla</t>
  </si>
  <si>
    <t>S0698</t>
  </si>
  <si>
    <t>CUST0698</t>
  </si>
  <si>
    <t>Bird PLC Tesla</t>
  </si>
  <si>
    <t>S0699</t>
  </si>
  <si>
    <t>CUST0699</t>
  </si>
  <si>
    <t>Curtis-Peterson Tesla</t>
  </si>
  <si>
    <t>S0700</t>
  </si>
  <si>
    <t>CUST0700</t>
  </si>
  <si>
    <t>Peck, Long and Mendoza Tesla</t>
  </si>
  <si>
    <t>S0701</t>
  </si>
  <si>
    <t>CUST0701</t>
  </si>
  <si>
    <t>Russo, White and Davis Tesla</t>
  </si>
  <si>
    <t>S0702</t>
  </si>
  <si>
    <t>CUST0702</t>
  </si>
  <si>
    <t>Williams Ltd Tesla</t>
  </si>
  <si>
    <t>S0703</t>
  </si>
  <si>
    <t>CUST0703</t>
  </si>
  <si>
    <t>Bates Inc Tesla</t>
  </si>
  <si>
    <t>S0704</t>
  </si>
  <si>
    <t>CUST0704</t>
  </si>
  <si>
    <t>Romero, Robinson and Thompson Tesla</t>
  </si>
  <si>
    <t>S0705</t>
  </si>
  <si>
    <t>CUST0705</t>
  </si>
  <si>
    <t>Park Group Tesla</t>
  </si>
  <si>
    <t>S0706</t>
  </si>
  <si>
    <t>CUST0706</t>
  </si>
  <si>
    <t>Jackson and Sons Tesla</t>
  </si>
  <si>
    <t>S0707</t>
  </si>
  <si>
    <t>CUST0707</t>
  </si>
  <si>
    <t>Cabrera, Gregory and Perez Tesla</t>
  </si>
  <si>
    <t>S0708</t>
  </si>
  <si>
    <t>CUST0708</t>
  </si>
  <si>
    <t>S0709</t>
  </si>
  <si>
    <t>CUST0709</t>
  </si>
  <si>
    <t>Howard, Cochran and Garcia Tesla</t>
  </si>
  <si>
    <t>S0710</t>
  </si>
  <si>
    <t>CUST0710</t>
  </si>
  <si>
    <t>Davidson PLC Tesla</t>
  </si>
  <si>
    <t>S0711</t>
  </si>
  <si>
    <t>CUST0711</t>
  </si>
  <si>
    <t>Donovan PLC Tesla</t>
  </si>
  <si>
    <t>S0712</t>
  </si>
  <si>
    <t>CUST0712</t>
  </si>
  <si>
    <t>Rowe and Sons Tesla</t>
  </si>
  <si>
    <t>S0713</t>
  </si>
  <si>
    <t>CUST0713</t>
  </si>
  <si>
    <t>S0714</t>
  </si>
  <si>
    <t>CUST0714</t>
  </si>
  <si>
    <t>Garcia-Holmes Tesla</t>
  </si>
  <si>
    <t>S0715</t>
  </si>
  <si>
    <t>CUST0715</t>
  </si>
  <si>
    <t>Morgan Group Tesla</t>
  </si>
  <si>
    <t>S0716</t>
  </si>
  <si>
    <t>CUST0716</t>
  </si>
  <si>
    <t>Hanson Group Tesla</t>
  </si>
  <si>
    <t>S0717</t>
  </si>
  <si>
    <t>CUST0717</t>
  </si>
  <si>
    <t>Terry, Sanchez and Christian Tesla</t>
  </si>
  <si>
    <t>S0718</t>
  </si>
  <si>
    <t>CUST0718</t>
  </si>
  <si>
    <t>Petersen Group Tesla</t>
  </si>
  <si>
    <t>S0719</t>
  </si>
  <si>
    <t>CUST0719</t>
  </si>
  <si>
    <t>Harrison PLC Tesla</t>
  </si>
  <si>
    <t>S0720</t>
  </si>
  <si>
    <t>CUST0720</t>
  </si>
  <si>
    <t>Garza, Palmer and Carter Tesla</t>
  </si>
  <si>
    <t>S0721</t>
  </si>
  <si>
    <t>CUST0721</t>
  </si>
  <si>
    <t>S0722</t>
  </si>
  <si>
    <t>CUST0722</t>
  </si>
  <si>
    <t>Henderson Ltd Tesla</t>
  </si>
  <si>
    <t>S0723</t>
  </si>
  <si>
    <t>CUST0723</t>
  </si>
  <si>
    <t>Johnston, Hart and Dawson Tesla</t>
  </si>
  <si>
    <t>S0724</t>
  </si>
  <si>
    <t>CUST0724</t>
  </si>
  <si>
    <t>Monroe Inc Tesla</t>
  </si>
  <si>
    <t>S0725</t>
  </si>
  <si>
    <t>CUST0725</t>
  </si>
  <si>
    <t>Taylor, Robertson and Mendoza Tesla</t>
  </si>
  <si>
    <t>S0726</t>
  </si>
  <si>
    <t>CUST0726</t>
  </si>
  <si>
    <t>Hester LLC Tesla</t>
  </si>
  <si>
    <t>S0727</t>
  </si>
  <si>
    <t>CUST0727</t>
  </si>
  <si>
    <t>Everett, Chapman and Shelton Tesla</t>
  </si>
  <si>
    <t>S0728</t>
  </si>
  <si>
    <t>CUST0728</t>
  </si>
  <si>
    <t>Torres, Hunter and Stevens Tesla</t>
  </si>
  <si>
    <t>S0729</t>
  </si>
  <si>
    <t>CUST0729</t>
  </si>
  <si>
    <t>Snyder, Robinson and Weber Tesla</t>
  </si>
  <si>
    <t>S0730</t>
  </si>
  <si>
    <t>CUST0730</t>
  </si>
  <si>
    <t>Baxter-Nolan Tesla</t>
  </si>
  <si>
    <t>S0731</t>
  </si>
  <si>
    <t>CUST0731</t>
  </si>
  <si>
    <t>Harris Ltd Tesla</t>
  </si>
  <si>
    <t>S0732</t>
  </si>
  <si>
    <t>CUST0732</t>
  </si>
  <si>
    <t>Banks-Taylor Tesla</t>
  </si>
  <si>
    <t>S0733</t>
  </si>
  <si>
    <t>CUST0733</t>
  </si>
  <si>
    <t>Russell Ltd Tesla</t>
  </si>
  <si>
    <t>S0734</t>
  </si>
  <si>
    <t>CUST0734</t>
  </si>
  <si>
    <t>Fisher, Wright and Cooke Tesla</t>
  </si>
  <si>
    <t>S0735</t>
  </si>
  <si>
    <t>CUST0735</t>
  </si>
  <si>
    <t>Mathews, Mendez and Taylor Tesla</t>
  </si>
  <si>
    <t>S0736</t>
  </si>
  <si>
    <t>CUST0736</t>
  </si>
  <si>
    <t>Davis, Gallagher and Lang Tesla</t>
  </si>
  <si>
    <t>S0737</t>
  </si>
  <si>
    <t>CUST0737</t>
  </si>
  <si>
    <t>Scott-Garza Tesla</t>
  </si>
  <si>
    <t>S0738</t>
  </si>
  <si>
    <t>CUST0738</t>
  </si>
  <si>
    <t>Scott-Simpson Tesla</t>
  </si>
  <si>
    <t>S0739</t>
  </si>
  <si>
    <t>CUST0739</t>
  </si>
  <si>
    <t>Cunningham-Hogan Tesla</t>
  </si>
  <si>
    <t>S0740</t>
  </si>
  <si>
    <t>CUST0740</t>
  </si>
  <si>
    <t>Hall, Lee and Munoz Tesla</t>
  </si>
  <si>
    <t>S0741</t>
  </si>
  <si>
    <t>CUST0741</t>
  </si>
  <si>
    <t>Chase PLC Tesla</t>
  </si>
  <si>
    <t>S0742</t>
  </si>
  <si>
    <t>CUST0742</t>
  </si>
  <si>
    <t>Allen, Jones and Kramer Tesla</t>
  </si>
  <si>
    <t>S0743</t>
  </si>
  <si>
    <t>CUST0743</t>
  </si>
  <si>
    <t>Huang and Sons Tesla</t>
  </si>
  <si>
    <t>S0744</t>
  </si>
  <si>
    <t>CUST0744</t>
  </si>
  <si>
    <t>Ramos Ltd Tesla</t>
  </si>
  <si>
    <t>S0745</t>
  </si>
  <si>
    <t>CUST0745</t>
  </si>
  <si>
    <t>Patterson, Miller and Morris Tesla</t>
  </si>
  <si>
    <t>S0746</t>
  </si>
  <si>
    <t>CUST0746</t>
  </si>
  <si>
    <t>Murphy-Ryan Tesla</t>
  </si>
  <si>
    <t>S0747</t>
  </si>
  <si>
    <t>CUST0747</t>
  </si>
  <si>
    <t>Gomez, Carter and Howard Tesla</t>
  </si>
  <si>
    <t>S0748</t>
  </si>
  <si>
    <t>CUST0748</t>
  </si>
  <si>
    <t>Cardenas, Brown and Chen Tesla</t>
  </si>
  <si>
    <t>S0749</t>
  </si>
  <si>
    <t>CUST0749</t>
  </si>
  <si>
    <t>Wagner, Davis and Edwards Tesla</t>
  </si>
  <si>
    <t>S0750</t>
  </si>
  <si>
    <t>CUST0750</t>
  </si>
  <si>
    <t>Marquez Ltd Tesla</t>
  </si>
  <si>
    <t>S0751</t>
  </si>
  <si>
    <t>CUST0751</t>
  </si>
  <si>
    <t>Love, Daniels and Campbell Tesla</t>
  </si>
  <si>
    <t>S0752</t>
  </si>
  <si>
    <t>CUST0752</t>
  </si>
  <si>
    <t>Hill-Baldwin Tesla</t>
  </si>
  <si>
    <t>S0753</t>
  </si>
  <si>
    <t>CUST0753</t>
  </si>
  <si>
    <t>Robinson, Carpenter and Lewis Tesla</t>
  </si>
  <si>
    <t>S0754</t>
  </si>
  <si>
    <t>CUST0754</t>
  </si>
  <si>
    <t>Fields LLC Tesla</t>
  </si>
  <si>
    <t>S0755</t>
  </si>
  <si>
    <t>CUST0755</t>
  </si>
  <si>
    <t>Baker-Rollins Tesla</t>
  </si>
  <si>
    <t>S0756</t>
  </si>
  <si>
    <t>CUST0756</t>
  </si>
  <si>
    <t>House, Hall and Smith Tesla</t>
  </si>
  <si>
    <t>S0757</t>
  </si>
  <si>
    <t>CUST0757</t>
  </si>
  <si>
    <t>Carroll Inc Tesla</t>
  </si>
  <si>
    <t>S0758</t>
  </si>
  <si>
    <t>CUST0758</t>
  </si>
  <si>
    <t>Rios, Holder and White Tesla</t>
  </si>
  <si>
    <t>S0759</t>
  </si>
  <si>
    <t>CUST0759</t>
  </si>
  <si>
    <t>Delacruz, Moore and Carter Tesla</t>
  </si>
  <si>
    <t>S0760</t>
  </si>
  <si>
    <t>CUST0760</t>
  </si>
  <si>
    <t>Li, Davis and Carrillo Tesla</t>
  </si>
  <si>
    <t>S0761</t>
  </si>
  <si>
    <t>CUST0761</t>
  </si>
  <si>
    <t>Finley-Mack Tesla</t>
  </si>
  <si>
    <t>S0762</t>
  </si>
  <si>
    <t>CUST0762</t>
  </si>
  <si>
    <t>Ayala-Smith Tesla</t>
  </si>
  <si>
    <t>S0763</t>
  </si>
  <si>
    <t>CUST0763</t>
  </si>
  <si>
    <t>Logan Group Tesla</t>
  </si>
  <si>
    <t>S0764</t>
  </si>
  <si>
    <t>CUST0764</t>
  </si>
  <si>
    <t>Smith, Davis and Bailey Tesla</t>
  </si>
  <si>
    <t>S0765</t>
  </si>
  <si>
    <t>CUST0765</t>
  </si>
  <si>
    <t>Klein-West Tesla</t>
  </si>
  <si>
    <t>S0766</t>
  </si>
  <si>
    <t>CUST0766</t>
  </si>
  <si>
    <t>Hicks and Sons Tesla</t>
  </si>
  <si>
    <t>S0767</t>
  </si>
  <si>
    <t>CUST0767</t>
  </si>
  <si>
    <t>Acevedo-Russell Tesla</t>
  </si>
  <si>
    <t>S0768</t>
  </si>
  <si>
    <t>CUST0768</t>
  </si>
  <si>
    <t>Cummings Inc Tesla</t>
  </si>
  <si>
    <t>S0769</t>
  </si>
  <si>
    <t>CUST0769</t>
  </si>
  <si>
    <t>Warren-Ward Tesla</t>
  </si>
  <si>
    <t>S0770</t>
  </si>
  <si>
    <t>CUST0770</t>
  </si>
  <si>
    <t>Brown-Martinez Tesla</t>
  </si>
  <si>
    <t>S0771</t>
  </si>
  <si>
    <t>CUST0771</t>
  </si>
  <si>
    <t>Rogers and Sons Tesla</t>
  </si>
  <si>
    <t>S0772</t>
  </si>
  <si>
    <t>CUST0772</t>
  </si>
  <si>
    <t>Watson-Pierce Tesla</t>
  </si>
  <si>
    <t>S0773</t>
  </si>
  <si>
    <t>CUST0773</t>
  </si>
  <si>
    <t>Oliver-Love Tesla</t>
  </si>
  <si>
    <t>S0774</t>
  </si>
  <si>
    <t>CUST0774</t>
  </si>
  <si>
    <t>Russell, Simpson and Hill Tesla</t>
  </si>
  <si>
    <t>S0775</t>
  </si>
  <si>
    <t>CUST0775</t>
  </si>
  <si>
    <t>Hicks, Phillips and Houston Tesla</t>
  </si>
  <si>
    <t>S0776</t>
  </si>
  <si>
    <t>CUST0776</t>
  </si>
  <si>
    <t>White LLC Tesla</t>
  </si>
  <si>
    <t>S0777</t>
  </si>
  <si>
    <t>CUST0777</t>
  </si>
  <si>
    <t>Spears-Farmer Tesla</t>
  </si>
  <si>
    <t>S0778</t>
  </si>
  <si>
    <t>CUST0778</t>
  </si>
  <si>
    <t>Reynolds-Griffin Tesla</t>
  </si>
  <si>
    <t>S0779</t>
  </si>
  <si>
    <t>CUST0779</t>
  </si>
  <si>
    <t>Carpenter, Williams and Munoz Tesla</t>
  </si>
  <si>
    <t>S0780</t>
  </si>
  <si>
    <t>CUST0780</t>
  </si>
  <si>
    <t>Harrison, White and Jones Tesla</t>
  </si>
  <si>
    <t>S0781</t>
  </si>
  <si>
    <t>CUST0781</t>
  </si>
  <si>
    <t>S0782</t>
  </si>
  <si>
    <t>CUST0782</t>
  </si>
  <si>
    <t>Griffin PLC Tesla</t>
  </si>
  <si>
    <t>S0783</t>
  </si>
  <si>
    <t>CUST0783</t>
  </si>
  <si>
    <t>Guerrero Inc Tesla</t>
  </si>
  <si>
    <t>S0784</t>
  </si>
  <si>
    <t>CUST0784</t>
  </si>
  <si>
    <t>Jones, Walker and Gomez Tesla</t>
  </si>
  <si>
    <t>S0785</t>
  </si>
  <si>
    <t>CUST0785</t>
  </si>
  <si>
    <t>Miller, Chung and Moran Tesla</t>
  </si>
  <si>
    <t>S0786</t>
  </si>
  <si>
    <t>CUST0786</t>
  </si>
  <si>
    <t>Conway-Mcconnell Tesla</t>
  </si>
  <si>
    <t>S0787</t>
  </si>
  <si>
    <t>CUST0787</t>
  </si>
  <si>
    <t>Snyder Group Tesla</t>
  </si>
  <si>
    <t>S0788</t>
  </si>
  <si>
    <t>CUST0788</t>
  </si>
  <si>
    <t>Taylor, Thomas and Jenkins Tesla</t>
  </si>
  <si>
    <t>S0789</t>
  </si>
  <si>
    <t>CUST0789</t>
  </si>
  <si>
    <t>Stephens, Smith and Bush Tesla</t>
  </si>
  <si>
    <t>S0790</t>
  </si>
  <si>
    <t>CUST0790</t>
  </si>
  <si>
    <t>Brown-Wallace Tesla</t>
  </si>
  <si>
    <t>S0791</t>
  </si>
  <si>
    <t>CUST0791</t>
  </si>
  <si>
    <t>Leonard LLC Tesla</t>
  </si>
  <si>
    <t>S0792</t>
  </si>
  <si>
    <t>CUST0792</t>
  </si>
  <si>
    <t>Goodman PLC Tesla</t>
  </si>
  <si>
    <t>S0793</t>
  </si>
  <si>
    <t>CUST0793</t>
  </si>
  <si>
    <t>S0794</t>
  </si>
  <si>
    <t>CUST0794</t>
  </si>
  <si>
    <t>Olsen-Salazar Tesla</t>
  </si>
  <si>
    <t>S0795</t>
  </si>
  <si>
    <t>CUST0795</t>
  </si>
  <si>
    <t>Neal Ltd Tesla</t>
  </si>
  <si>
    <t>S0796</t>
  </si>
  <si>
    <t>CUST0796</t>
  </si>
  <si>
    <t>Burton, Harris and Navarro Tesla</t>
  </si>
  <si>
    <t>S0797</t>
  </si>
  <si>
    <t>CUST0797</t>
  </si>
  <si>
    <t>Palmer, Palmer and Roberts Tesla</t>
  </si>
  <si>
    <t>S0798</t>
  </si>
  <si>
    <t>CUST0798</t>
  </si>
  <si>
    <t>Wilson Ltd Tesla</t>
  </si>
  <si>
    <t>S0799</t>
  </si>
  <si>
    <t>CUST0799</t>
  </si>
  <si>
    <t>Hernandez Ltd Tesla</t>
  </si>
  <si>
    <t>S0800</t>
  </si>
  <si>
    <t>CUST0800</t>
  </si>
  <si>
    <t>Yates, Stephens and Rice Tesla</t>
  </si>
  <si>
    <t>S0801</t>
  </si>
  <si>
    <t>CUST0801</t>
  </si>
  <si>
    <t>Drake and Sons Tesla</t>
  </si>
  <si>
    <t>S0802</t>
  </si>
  <si>
    <t>CUST0802</t>
  </si>
  <si>
    <t>Lopez, Stone and Martinez Tesla</t>
  </si>
  <si>
    <t>S0803</t>
  </si>
  <si>
    <t>CUST0803</t>
  </si>
  <si>
    <t>Potts-Robinson Tesla</t>
  </si>
  <si>
    <t>S0804</t>
  </si>
  <si>
    <t>CUST0804</t>
  </si>
  <si>
    <t>Smith-Cook Tesla</t>
  </si>
  <si>
    <t>S0805</t>
  </si>
  <si>
    <t>CUST0805</t>
  </si>
  <si>
    <t>Carter-Bailey Tesla</t>
  </si>
  <si>
    <t>S0806</t>
  </si>
  <si>
    <t>CUST0806</t>
  </si>
  <si>
    <t>Smith-Jacobson Tesla</t>
  </si>
  <si>
    <t>S0807</t>
  </si>
  <si>
    <t>CUST0807</t>
  </si>
  <si>
    <t>Weber-Rivera Tesla</t>
  </si>
  <si>
    <t>S0808</t>
  </si>
  <si>
    <t>CUST0808</t>
  </si>
  <si>
    <t>Andrade-Franklin Tesla</t>
  </si>
  <si>
    <t>S0809</t>
  </si>
  <si>
    <t>CUST0809</t>
  </si>
  <si>
    <t>Carroll-Morris Tesla</t>
  </si>
  <si>
    <t>S0810</t>
  </si>
  <si>
    <t>CUST0810</t>
  </si>
  <si>
    <t>Hernandez-Moore Tesla</t>
  </si>
  <si>
    <t>S0811</t>
  </si>
  <si>
    <t>CUST0811</t>
  </si>
  <si>
    <t>Wilkinson-Brown Tesla</t>
  </si>
  <si>
    <t>S0812</t>
  </si>
  <si>
    <t>CUST0812</t>
  </si>
  <si>
    <t>Swanson LLC Tesla</t>
  </si>
  <si>
    <t>S0813</t>
  </si>
  <si>
    <t>CUST0813</t>
  </si>
  <si>
    <t>Keller-Turner Tesla</t>
  </si>
  <si>
    <t>S0814</t>
  </si>
  <si>
    <t>CUST0814</t>
  </si>
  <si>
    <t>Lowery, Gordon and Davis Tesla</t>
  </si>
  <si>
    <t>S0815</t>
  </si>
  <si>
    <t>CUST0815</t>
  </si>
  <si>
    <t>Wallace LLC Tesla</t>
  </si>
  <si>
    <t>S0816</t>
  </si>
  <si>
    <t>CUST0816</t>
  </si>
  <si>
    <t>Duncan, Heath and Peterson Tesla</t>
  </si>
  <si>
    <t>S0817</t>
  </si>
  <si>
    <t>CUST0817</t>
  </si>
  <si>
    <t>Meyer Ltd Tesla</t>
  </si>
  <si>
    <t>S0818</t>
  </si>
  <si>
    <t>CUST0818</t>
  </si>
  <si>
    <t>Larson and Sons Tesla</t>
  </si>
  <si>
    <t>S0819</t>
  </si>
  <si>
    <t>CUST0819</t>
  </si>
  <si>
    <t>Ball Ltd Tesla</t>
  </si>
  <si>
    <t>S0820</t>
  </si>
  <si>
    <t>CUST0820</t>
  </si>
  <si>
    <t>Bullock Inc Tesla</t>
  </si>
  <si>
    <t>S0821</t>
  </si>
  <si>
    <t>CUST0821</t>
  </si>
  <si>
    <t>Day, Miller and Daniels Tesla</t>
  </si>
  <si>
    <t>S0822</t>
  </si>
  <si>
    <t>CUST0822</t>
  </si>
  <si>
    <t>Nelson Group Tesla</t>
  </si>
  <si>
    <t>S0823</t>
  </si>
  <si>
    <t>CUST0823</t>
  </si>
  <si>
    <t>Jenkins and Sons Tesla</t>
  </si>
  <si>
    <t>S0824</t>
  </si>
  <si>
    <t>CUST0824</t>
  </si>
  <si>
    <t>Rose, Elliott and Hill Tesla</t>
  </si>
  <si>
    <t>S0825</t>
  </si>
  <si>
    <t>CUST0825</t>
  </si>
  <si>
    <t>Smith, Moore and White Tesla</t>
  </si>
  <si>
    <t>S0826</t>
  </si>
  <si>
    <t>CUST0826</t>
  </si>
  <si>
    <t>S0827</t>
  </si>
  <si>
    <t>CUST0827</t>
  </si>
  <si>
    <t>Hansen, Myers and Cox Tesla</t>
  </si>
  <si>
    <t>S0828</t>
  </si>
  <si>
    <t>CUST0828</t>
  </si>
  <si>
    <t>Miller, Harrison and Gonzales Tesla</t>
  </si>
  <si>
    <t>S0829</t>
  </si>
  <si>
    <t>CUST0829</t>
  </si>
  <si>
    <t>Oliver-Brown Tesla</t>
  </si>
  <si>
    <t>S0830</t>
  </si>
  <si>
    <t>CUST0830</t>
  </si>
  <si>
    <t>Johnson, Young and Nelson Tesla</t>
  </si>
  <si>
    <t>S0831</t>
  </si>
  <si>
    <t>CUST0831</t>
  </si>
  <si>
    <t>Porter, Johnson and Thompson Tesla</t>
  </si>
  <si>
    <t>S0832</t>
  </si>
  <si>
    <t>CUST0832</t>
  </si>
  <si>
    <t>Warren, Palmer and Bautista Tesla</t>
  </si>
  <si>
    <t>S0833</t>
  </si>
  <si>
    <t>CUST0833</t>
  </si>
  <si>
    <t>Murphy, Garza and Martinez Tesla</t>
  </si>
  <si>
    <t>S0834</t>
  </si>
  <si>
    <t>CUST0834</t>
  </si>
  <si>
    <t>Mann-Ramos Tesla</t>
  </si>
  <si>
    <t>S0835</t>
  </si>
  <si>
    <t>CUST0835</t>
  </si>
  <si>
    <t>Lane Inc Tesla</t>
  </si>
  <si>
    <t>S0836</t>
  </si>
  <si>
    <t>CUST0836</t>
  </si>
  <si>
    <t>Wright, Rodgers and Gaines Tesla</t>
  </si>
  <si>
    <t>S0837</t>
  </si>
  <si>
    <t>CUST0837</t>
  </si>
  <si>
    <t>Perez Group Tesla</t>
  </si>
  <si>
    <t>S0838</t>
  </si>
  <si>
    <t>CUST0838</t>
  </si>
  <si>
    <t>Whitney and Sons Tesla</t>
  </si>
  <si>
    <t>S0839</t>
  </si>
  <si>
    <t>CUST0839</t>
  </si>
  <si>
    <t>Potter, Hoover and Powell Tesla</t>
  </si>
  <si>
    <t>S0840</t>
  </si>
  <si>
    <t>CUST0840</t>
  </si>
  <si>
    <t>Austin Inc Tesla</t>
  </si>
  <si>
    <t>S0841</t>
  </si>
  <si>
    <t>CUST0841</t>
  </si>
  <si>
    <t>Booth-Contreras Tesla</t>
  </si>
  <si>
    <t>S0842</t>
  </si>
  <si>
    <t>CUST0842</t>
  </si>
  <si>
    <t>Robbins, Russell and Jimenez Tesla</t>
  </si>
  <si>
    <t>S0843</t>
  </si>
  <si>
    <t>CUST0843</t>
  </si>
  <si>
    <t>Wade-Baker Tesla</t>
  </si>
  <si>
    <t>S0844</t>
  </si>
  <si>
    <t>CUST0844</t>
  </si>
  <si>
    <t>Davis, Thomas and Pittman Tesla</t>
  </si>
  <si>
    <t>S0845</t>
  </si>
  <si>
    <t>CUST0845</t>
  </si>
  <si>
    <t>Anthony, Austin and Wu Tesla</t>
  </si>
  <si>
    <t>S0846</t>
  </si>
  <si>
    <t>CUST0846</t>
  </si>
  <si>
    <t>Garcia-Allen Tesla</t>
  </si>
  <si>
    <t>S0847</t>
  </si>
  <si>
    <t>CUST0847</t>
  </si>
  <si>
    <t>Gray and Sons Tesla</t>
  </si>
  <si>
    <t>S0848</t>
  </si>
  <si>
    <t>CUST0848</t>
  </si>
  <si>
    <t>Moody PLC Tesla</t>
  </si>
  <si>
    <t>S0849</t>
  </si>
  <si>
    <t>CUST0849</t>
  </si>
  <si>
    <t>West-Anderson Tesla</t>
  </si>
  <si>
    <t>S0850</t>
  </si>
  <si>
    <t>CUST0850</t>
  </si>
  <si>
    <t>Hampton, Mcdonald and Hawkins Tesla</t>
  </si>
  <si>
    <t>S0851</t>
  </si>
  <si>
    <t>CUST0851</t>
  </si>
  <si>
    <t>Austin, Nguyen and Galvan Tesla</t>
  </si>
  <si>
    <t>S0852</t>
  </si>
  <si>
    <t>CUST0852</t>
  </si>
  <si>
    <t>Sexton Group Tesla</t>
  </si>
  <si>
    <t>S0853</t>
  </si>
  <si>
    <t>CUST0853</t>
  </si>
  <si>
    <t>Stokes-Key Tesla</t>
  </si>
  <si>
    <t>S0854</t>
  </si>
  <si>
    <t>CUST0854</t>
  </si>
  <si>
    <t>Cross Ltd Tesla</t>
  </si>
  <si>
    <t>S0855</t>
  </si>
  <si>
    <t>CUST0855</t>
  </si>
  <si>
    <t>Lopez Ltd Tesla</t>
  </si>
  <si>
    <t>S0856</t>
  </si>
  <si>
    <t>CUST0856</t>
  </si>
  <si>
    <t>Collins, Austin and Rubio Tesla</t>
  </si>
  <si>
    <t>S0857</t>
  </si>
  <si>
    <t>CUST0857</t>
  </si>
  <si>
    <t>Contreras, Williams and Burnett Tesla</t>
  </si>
  <si>
    <t>S0858</t>
  </si>
  <si>
    <t>CUST0858</t>
  </si>
  <si>
    <t>Brooks-Harris Tesla</t>
  </si>
  <si>
    <t>S0859</t>
  </si>
  <si>
    <t>CUST0859</t>
  </si>
  <si>
    <t>Sanders, Anderson and Hall Tesla</t>
  </si>
  <si>
    <t>S0860</t>
  </si>
  <si>
    <t>CUST0860</t>
  </si>
  <si>
    <t>Foster, Foster and Vaughn Tesla</t>
  </si>
  <si>
    <t>S0861</t>
  </si>
  <si>
    <t>CUST0861</t>
  </si>
  <si>
    <t>Coffey, Johnson and Moran Tesla</t>
  </si>
  <si>
    <t>S0862</t>
  </si>
  <si>
    <t>CUST0862</t>
  </si>
  <si>
    <t>S0863</t>
  </si>
  <si>
    <t>CUST0863</t>
  </si>
  <si>
    <t>Smith, Massey and Kelly Tesla</t>
  </si>
  <si>
    <t>S0864</t>
  </si>
  <si>
    <t>CUST0864</t>
  </si>
  <si>
    <t>Frank LLC Tesla</t>
  </si>
  <si>
    <t>S0865</t>
  </si>
  <si>
    <t>CUST0865</t>
  </si>
  <si>
    <t>Pennington-Murphy Tesla</t>
  </si>
  <si>
    <t>S0866</t>
  </si>
  <si>
    <t>CUST0866</t>
  </si>
  <si>
    <t>Booth, Garcia and Smith Tesla</t>
  </si>
  <si>
    <t>S0867</t>
  </si>
  <si>
    <t>CUST0867</t>
  </si>
  <si>
    <t>Stevens, Christensen and Jones Tesla</t>
  </si>
  <si>
    <t>S0868</t>
  </si>
  <si>
    <t>CUST0868</t>
  </si>
  <si>
    <t>Johnson, Bates and Campbell Tesla</t>
  </si>
  <si>
    <t>S0869</t>
  </si>
  <si>
    <t>CUST0869</t>
  </si>
  <si>
    <t>Sullivan Inc Tesla</t>
  </si>
  <si>
    <t>S0870</t>
  </si>
  <si>
    <t>CUST0870</t>
  </si>
  <si>
    <t>Carter PLC Tesla</t>
  </si>
  <si>
    <t>S0871</t>
  </si>
  <si>
    <t>CUST0871</t>
  </si>
  <si>
    <t>Lawrence and Sons Tesla</t>
  </si>
  <si>
    <t>S0872</t>
  </si>
  <si>
    <t>CUST0872</t>
  </si>
  <si>
    <t>Brown-Gilbert Tesla</t>
  </si>
  <si>
    <t>S0873</t>
  </si>
  <si>
    <t>CUST0873</t>
  </si>
  <si>
    <t>Hughes, Garcia and Hickman Tesla</t>
  </si>
  <si>
    <t>S0874</t>
  </si>
  <si>
    <t>CUST0874</t>
  </si>
  <si>
    <t>Bailey PLC Tesla</t>
  </si>
  <si>
    <t>S0875</t>
  </si>
  <si>
    <t>CUST0875</t>
  </si>
  <si>
    <t>Mann Inc Tesla</t>
  </si>
  <si>
    <t>S0876</t>
  </si>
  <si>
    <t>CUST0876</t>
  </si>
  <si>
    <t>Moran-Lopez Tesla</t>
  </si>
  <si>
    <t>S0877</t>
  </si>
  <si>
    <t>CUST0877</t>
  </si>
  <si>
    <t>Tanner and Sons Tesla</t>
  </si>
  <si>
    <t>S0878</t>
  </si>
  <si>
    <t>CUST0878</t>
  </si>
  <si>
    <t>Howard Inc Tesla</t>
  </si>
  <si>
    <t>S0879</t>
  </si>
  <si>
    <t>CUST0879</t>
  </si>
  <si>
    <t>Jackson PLC Tesla</t>
  </si>
  <si>
    <t>S0880</t>
  </si>
  <si>
    <t>CUST0880</t>
  </si>
  <si>
    <t>Lewis-Henry Tesla</t>
  </si>
  <si>
    <t>S0881</t>
  </si>
  <si>
    <t>CUST0881</t>
  </si>
  <si>
    <t>Green Ltd Tesla</t>
  </si>
  <si>
    <t>S0882</t>
  </si>
  <si>
    <t>CUST0882</t>
  </si>
  <si>
    <t>Brown, Robinson and Green Tesla</t>
  </si>
  <si>
    <t>S0883</t>
  </si>
  <si>
    <t>CUST0883</t>
  </si>
  <si>
    <t>Vasquez-Hutchinson Tesla</t>
  </si>
  <si>
    <t>S0884</t>
  </si>
  <si>
    <t>CUST0884</t>
  </si>
  <si>
    <t>Scott, Poole and Diaz Tesla</t>
  </si>
  <si>
    <t>S0885</t>
  </si>
  <si>
    <t>CUST0885</t>
  </si>
  <si>
    <t>Liu-Abbott Tesla</t>
  </si>
  <si>
    <t>S0886</t>
  </si>
  <si>
    <t>CUST0886</t>
  </si>
  <si>
    <t>Hudson PLC Tesla</t>
  </si>
  <si>
    <t>S0887</t>
  </si>
  <si>
    <t>CUST0887</t>
  </si>
  <si>
    <t>Logan-Bowen Tesla</t>
  </si>
  <si>
    <t>S0888</t>
  </si>
  <si>
    <t>CUST0888</t>
  </si>
  <si>
    <t>Strickland and Sons Tesla</t>
  </si>
  <si>
    <t>S0889</t>
  </si>
  <si>
    <t>CUST0889</t>
  </si>
  <si>
    <t>Bailey and Sons Tesla</t>
  </si>
  <si>
    <t>S0890</t>
  </si>
  <si>
    <t>CUST0890</t>
  </si>
  <si>
    <t>Foster, Johnson and Brown Tesla</t>
  </si>
  <si>
    <t>S0891</t>
  </si>
  <si>
    <t>CUST0891</t>
  </si>
  <si>
    <t>Roberts-Moore Tesla</t>
  </si>
  <si>
    <t>S0892</t>
  </si>
  <si>
    <t>CUST0892</t>
  </si>
  <si>
    <t>Carrillo, Simmons and Harmon Tesla</t>
  </si>
  <si>
    <t>S0893</t>
  </si>
  <si>
    <t>CUST0893</t>
  </si>
  <si>
    <t>Medina-Hamilton Tesla</t>
  </si>
  <si>
    <t>S0894</t>
  </si>
  <si>
    <t>CUST0894</t>
  </si>
  <si>
    <t>Bell Group Tesla</t>
  </si>
  <si>
    <t>S0895</t>
  </si>
  <si>
    <t>CUST0895</t>
  </si>
  <si>
    <t>Mcintosh, Pham and Daniel Tesla</t>
  </si>
  <si>
    <t>S0896</t>
  </si>
  <si>
    <t>CUST0896</t>
  </si>
  <si>
    <t>Gomez-Miller Tesla</t>
  </si>
  <si>
    <t>S0897</t>
  </si>
  <si>
    <t>CUST0897</t>
  </si>
  <si>
    <t>Garcia-Thomas Tesla</t>
  </si>
  <si>
    <t>S0898</t>
  </si>
  <si>
    <t>CUST0898</t>
  </si>
  <si>
    <t>Marshall, Patel and Young Tesla</t>
  </si>
  <si>
    <t>S0899</t>
  </si>
  <si>
    <t>CUST0899</t>
  </si>
  <si>
    <t>Murray, Hansen and Johnson Tesla</t>
  </si>
  <si>
    <t>S0900</t>
  </si>
  <si>
    <t>CUST0900</t>
  </si>
  <si>
    <t>Martinez and Sons Tesla</t>
  </si>
  <si>
    <t>S0901</t>
  </si>
  <si>
    <t>CUST0901</t>
  </si>
  <si>
    <t>Coleman-Paul Tesla</t>
  </si>
  <si>
    <t>S0902</t>
  </si>
  <si>
    <t>CUST0902</t>
  </si>
  <si>
    <t>Sandoval Inc Tesla</t>
  </si>
  <si>
    <t>S0903</t>
  </si>
  <si>
    <t>CUST0903</t>
  </si>
  <si>
    <t>S0904</t>
  </si>
  <si>
    <t>CUST0904</t>
  </si>
  <si>
    <t>Harris, Brown and Ayers Tesla</t>
  </si>
  <si>
    <t>S0905</t>
  </si>
  <si>
    <t>CUST0905</t>
  </si>
  <si>
    <t>Montgomery, Mathis and Ballard Tesla</t>
  </si>
  <si>
    <t>S0906</t>
  </si>
  <si>
    <t>CUST0906</t>
  </si>
  <si>
    <t>Fox PLC Tesla</t>
  </si>
  <si>
    <t>S0907</t>
  </si>
  <si>
    <t>CUST0907</t>
  </si>
  <si>
    <t>Martinez, Holland and Smith Tesla</t>
  </si>
  <si>
    <t>S0908</t>
  </si>
  <si>
    <t>CUST0908</t>
  </si>
  <si>
    <t>Lane PLC Tesla</t>
  </si>
  <si>
    <t>S0909</t>
  </si>
  <si>
    <t>CUST0909</t>
  </si>
  <si>
    <t>S0910</t>
  </si>
  <si>
    <t>CUST0910</t>
  </si>
  <si>
    <t>Kim Inc Tesla</t>
  </si>
  <si>
    <t>S0911</t>
  </si>
  <si>
    <t>CUST0911</t>
  </si>
  <si>
    <t>Durham-Liu Tesla</t>
  </si>
  <si>
    <t>S0912</t>
  </si>
  <si>
    <t>CUST0912</t>
  </si>
  <si>
    <t>Jacobs-Hayes Tesla</t>
  </si>
  <si>
    <t>S0913</t>
  </si>
  <si>
    <t>CUST0913</t>
  </si>
  <si>
    <t>Cowan and Sons Tesla</t>
  </si>
  <si>
    <t>S0914</t>
  </si>
  <si>
    <t>CUST0914</t>
  </si>
  <si>
    <t>Martin-Harper Tesla</t>
  </si>
  <si>
    <t>S0915</t>
  </si>
  <si>
    <t>CUST0915</t>
  </si>
  <si>
    <t>Hart-Smith Tesla</t>
  </si>
  <si>
    <t>S0916</t>
  </si>
  <si>
    <t>CUST0916</t>
  </si>
  <si>
    <t>Martinez Ltd Tesla</t>
  </si>
  <si>
    <t>S0917</t>
  </si>
  <si>
    <t>CUST0917</t>
  </si>
  <si>
    <t>Phillips-Brown Tesla</t>
  </si>
  <si>
    <t>S0918</t>
  </si>
  <si>
    <t>CUST0918</t>
  </si>
  <si>
    <t>Nelson and Sons Tesla</t>
  </si>
  <si>
    <t>S0919</t>
  </si>
  <si>
    <t>CUST0919</t>
  </si>
  <si>
    <t>Mitchell-Leon Tesla</t>
  </si>
  <si>
    <t>S0920</t>
  </si>
  <si>
    <t>CUST0920</t>
  </si>
  <si>
    <t>Shields-Contreras Tesla</t>
  </si>
  <si>
    <t>S0921</t>
  </si>
  <si>
    <t>CUST0921</t>
  </si>
  <si>
    <t>Jones-Cox Tesla</t>
  </si>
  <si>
    <t>S0922</t>
  </si>
  <si>
    <t>CUST0922</t>
  </si>
  <si>
    <t>Flowers, Harrison and Gray Tesla</t>
  </si>
  <si>
    <t>S0923</t>
  </si>
  <si>
    <t>CUST0923</t>
  </si>
  <si>
    <t>Brown, Carroll and Young Tesla</t>
  </si>
  <si>
    <t>S0924</t>
  </si>
  <si>
    <t>CUST0924</t>
  </si>
  <si>
    <t>S0925</t>
  </si>
  <si>
    <t>CUST0925</t>
  </si>
  <si>
    <t>Dunn PLC Tesla</t>
  </si>
  <si>
    <t>S0926</t>
  </si>
  <si>
    <t>CUST0926</t>
  </si>
  <si>
    <t>Lara Group Tesla</t>
  </si>
  <si>
    <t>S0927</t>
  </si>
  <si>
    <t>CUST0927</t>
  </si>
  <si>
    <t>Morrison-Jones Tesla</t>
  </si>
  <si>
    <t>S0928</t>
  </si>
  <si>
    <t>CUST0928</t>
  </si>
  <si>
    <t>Lawson Inc Tesla</t>
  </si>
  <si>
    <t>S0929</t>
  </si>
  <si>
    <t>CUST0929</t>
  </si>
  <si>
    <t>Burton PLC Tesla</t>
  </si>
  <si>
    <t>S0930</t>
  </si>
  <si>
    <t>CUST0930</t>
  </si>
  <si>
    <t>Bray, Watkins and Henry Tesla</t>
  </si>
  <si>
    <t>S0931</t>
  </si>
  <si>
    <t>CUST0931</t>
  </si>
  <si>
    <t>Rodriguez, Rosario and Harris Tesla</t>
  </si>
  <si>
    <t>S0932</t>
  </si>
  <si>
    <t>CUST0932</t>
  </si>
  <si>
    <t>Adams, Griffin and Young Tesla</t>
  </si>
  <si>
    <t>S0933</t>
  </si>
  <si>
    <t>CUST0933</t>
  </si>
  <si>
    <t>Caldwell, Jordan and Strickland Tesla</t>
  </si>
  <si>
    <t>S0934</t>
  </si>
  <si>
    <t>CUST0934</t>
  </si>
  <si>
    <t>Robinson-Mendez Tesla</t>
  </si>
  <si>
    <t>S0935</t>
  </si>
  <si>
    <t>CUST0935</t>
  </si>
  <si>
    <t>Williams, Phillips and Good Tesla</t>
  </si>
  <si>
    <t>S0936</t>
  </si>
  <si>
    <t>CUST0936</t>
  </si>
  <si>
    <t>Graham-Johnson Tesla</t>
  </si>
  <si>
    <t>S0937</t>
  </si>
  <si>
    <t>CUST0937</t>
  </si>
  <si>
    <t>Hernandez Inc Tesla</t>
  </si>
  <si>
    <t>S0938</t>
  </si>
  <si>
    <t>CUST0938</t>
  </si>
  <si>
    <t>Johnson-Yates Tesla</t>
  </si>
  <si>
    <t>S0939</t>
  </si>
  <si>
    <t>CUST0939</t>
  </si>
  <si>
    <t>Brooks, Rowe and Richardson Tesla</t>
  </si>
  <si>
    <t>S0940</t>
  </si>
  <si>
    <t>CUST0940</t>
  </si>
  <si>
    <t>Bruce-Williams Tesla</t>
  </si>
  <si>
    <t>S0941</t>
  </si>
  <si>
    <t>CUST0941</t>
  </si>
  <si>
    <t>Shaffer PLC Tesla</t>
  </si>
  <si>
    <t>S0942</t>
  </si>
  <si>
    <t>CUST0942</t>
  </si>
  <si>
    <t>Klein Ltd Tesla</t>
  </si>
  <si>
    <t>S0943</t>
  </si>
  <si>
    <t>CUST0943</t>
  </si>
  <si>
    <t>Gomez-Barajas Tesla</t>
  </si>
  <si>
    <t>S0944</t>
  </si>
  <si>
    <t>CUST0944</t>
  </si>
  <si>
    <t>Gibson, Buchanan and Jackson Tesla</t>
  </si>
  <si>
    <t>S0945</t>
  </si>
  <si>
    <t>CUST0945</t>
  </si>
  <si>
    <t>Caldwell, Holmes and Bailey Tesla</t>
  </si>
  <si>
    <t>S0946</t>
  </si>
  <si>
    <t>CUST0946</t>
  </si>
  <si>
    <t>Peters Ltd Tesla</t>
  </si>
  <si>
    <t>S0947</t>
  </si>
  <si>
    <t>CUST0947</t>
  </si>
  <si>
    <t>Stewart, Cox and Kelly Tesla</t>
  </si>
  <si>
    <t>S0948</t>
  </si>
  <si>
    <t>CUST0948</t>
  </si>
  <si>
    <t>Carter-Davis Tesla</t>
  </si>
  <si>
    <t>S0949</t>
  </si>
  <si>
    <t>CUST0949</t>
  </si>
  <si>
    <t>Day and Sons Tesla</t>
  </si>
  <si>
    <t>S0950</t>
  </si>
  <si>
    <t>CUST0950</t>
  </si>
  <si>
    <t>Fields Inc Tesla</t>
  </si>
  <si>
    <t>S0951</t>
  </si>
  <si>
    <t>CUST0951</t>
  </si>
  <si>
    <t>Smith, Bender and Garcia Tesla</t>
  </si>
  <si>
    <t>S0952</t>
  </si>
  <si>
    <t>CUST0952</t>
  </si>
  <si>
    <t>Perez Ltd Tesla</t>
  </si>
  <si>
    <t>S0953</t>
  </si>
  <si>
    <t>CUST0953</t>
  </si>
  <si>
    <t>Decker-Baker Tesla</t>
  </si>
  <si>
    <t>S0954</t>
  </si>
  <si>
    <t>CUST0954</t>
  </si>
  <si>
    <t>Gamble-Burns Tesla</t>
  </si>
  <si>
    <t>S0955</t>
  </si>
  <si>
    <t>CUST0955</t>
  </si>
  <si>
    <t>Myers Inc Tesla</t>
  </si>
  <si>
    <t>S0956</t>
  </si>
  <si>
    <t>CUST0956</t>
  </si>
  <si>
    <t>Lopez, Conley and Mccall Tesla</t>
  </si>
  <si>
    <t>S0957</t>
  </si>
  <si>
    <t>CUST0957</t>
  </si>
  <si>
    <t>Hall and Sons Tesla</t>
  </si>
  <si>
    <t>S0958</t>
  </si>
  <si>
    <t>CUST0958</t>
  </si>
  <si>
    <t>Ward-Parker Tesla</t>
  </si>
  <si>
    <t>S0959</t>
  </si>
  <si>
    <t>CUST0959</t>
  </si>
  <si>
    <t>Mendez Inc Tesla</t>
  </si>
  <si>
    <t>S0960</t>
  </si>
  <si>
    <t>CUST0960</t>
  </si>
  <si>
    <t>Ward Group Tesla</t>
  </si>
  <si>
    <t>S0961</t>
  </si>
  <si>
    <t>CUST0961</t>
  </si>
  <si>
    <t>Wallace, Jordan and Morris Tesla</t>
  </si>
  <si>
    <t>S0962</t>
  </si>
  <si>
    <t>CUST0962</t>
  </si>
  <si>
    <t>Baker-Lewis Tesla</t>
  </si>
  <si>
    <t>S0963</t>
  </si>
  <si>
    <t>CUST0963</t>
  </si>
  <si>
    <t>Weber Group Tesla</t>
  </si>
  <si>
    <t>S0964</t>
  </si>
  <si>
    <t>CUST0964</t>
  </si>
  <si>
    <t>Garcia PLC Tesla</t>
  </si>
  <si>
    <t>S0965</t>
  </si>
  <si>
    <t>CUST0965</t>
  </si>
  <si>
    <t>Rogers Ltd Tesla</t>
  </si>
  <si>
    <t>S0966</t>
  </si>
  <si>
    <t>CUST0966</t>
  </si>
  <si>
    <t>Carpenter Inc Tesla</t>
  </si>
  <si>
    <t>S0967</t>
  </si>
  <si>
    <t>CUST0967</t>
  </si>
  <si>
    <t>Dean, James and Miller Tesla</t>
  </si>
  <si>
    <t>S0968</t>
  </si>
  <si>
    <t>CUST0968</t>
  </si>
  <si>
    <t>Curtis, Dunn and Atkinson Tesla</t>
  </si>
  <si>
    <t>S0969</t>
  </si>
  <si>
    <t>CUST0969</t>
  </si>
  <si>
    <t>Rodriguez, Carrillo and Gray Tesla</t>
  </si>
  <si>
    <t>S0970</t>
  </si>
  <si>
    <t>CUST0970</t>
  </si>
  <si>
    <t>Johnston-Wolfe Tesla</t>
  </si>
  <si>
    <t>S0971</t>
  </si>
  <si>
    <t>CUST0971</t>
  </si>
  <si>
    <t>Gordon, Tucker and Forbes Tesla</t>
  </si>
  <si>
    <t>S0972</t>
  </si>
  <si>
    <t>CUST0972</t>
  </si>
  <si>
    <t>Stein, Walker and Edwards Tesla</t>
  </si>
  <si>
    <t>S0973</t>
  </si>
  <si>
    <t>CUST0973</t>
  </si>
  <si>
    <t>Smith, Hensley and Horton Tesla</t>
  </si>
  <si>
    <t>S0974</t>
  </si>
  <si>
    <t>CUST0974</t>
  </si>
  <si>
    <t>Duffy Inc Tesla</t>
  </si>
  <si>
    <t>S0975</t>
  </si>
  <si>
    <t>CUST0975</t>
  </si>
  <si>
    <t>Beltran, Robinson and Williams Tesla</t>
  </si>
  <si>
    <t>S0976</t>
  </si>
  <si>
    <t>CUST0976</t>
  </si>
  <si>
    <t>Cruz, Fernandez and Watson Tesla</t>
  </si>
  <si>
    <t>S0977</t>
  </si>
  <si>
    <t>CUST0977</t>
  </si>
  <si>
    <t>Brown-Smith Tesla</t>
  </si>
  <si>
    <t>S0978</t>
  </si>
  <si>
    <t>CUST0978</t>
  </si>
  <si>
    <t>Mayer, White and Jones Tesla</t>
  </si>
  <si>
    <t>S0979</t>
  </si>
  <si>
    <t>CUST0979</t>
  </si>
  <si>
    <t>Hill Ltd Tesla</t>
  </si>
  <si>
    <t>S0980</t>
  </si>
  <si>
    <t>CUST0980</t>
  </si>
  <si>
    <t>Preston, Payne and Stephens Tesla</t>
  </si>
  <si>
    <t>S0981</t>
  </si>
  <si>
    <t>CUST0981</t>
  </si>
  <si>
    <t>Mitchell PLC Tesla</t>
  </si>
  <si>
    <t>S0982</t>
  </si>
  <si>
    <t>CUST0982</t>
  </si>
  <si>
    <t>Gates LLC Tesla</t>
  </si>
  <si>
    <t>S0983</t>
  </si>
  <si>
    <t>CUST0983</t>
  </si>
  <si>
    <t>Smith, Dixon and King Tesla</t>
  </si>
  <si>
    <t>S0984</t>
  </si>
  <si>
    <t>CUST0984</t>
  </si>
  <si>
    <t>Reynolds PLC Tesla</t>
  </si>
  <si>
    <t>S0985</t>
  </si>
  <si>
    <t>CUST0985</t>
  </si>
  <si>
    <t>Torres, Keller and Pierce Tesla</t>
  </si>
  <si>
    <t>S0986</t>
  </si>
  <si>
    <t>CUST0986</t>
  </si>
  <si>
    <t>Joyce, Murphy and Hamilton Tesla</t>
  </si>
  <si>
    <t>S0987</t>
  </si>
  <si>
    <t>CUST0987</t>
  </si>
  <si>
    <t>Harris-Davila Tesla</t>
  </si>
  <si>
    <t>S0988</t>
  </si>
  <si>
    <t>CUST0988</t>
  </si>
  <si>
    <t>Hoffman-Kelley Tesla</t>
  </si>
  <si>
    <t>S0989</t>
  </si>
  <si>
    <t>CUST0989</t>
  </si>
  <si>
    <t>Flores-Reeves Tesla</t>
  </si>
  <si>
    <t>S0990</t>
  </si>
  <si>
    <t>CUST0990</t>
  </si>
  <si>
    <t>S0991</t>
  </si>
  <si>
    <t>CUST0991</t>
  </si>
  <si>
    <t>Soto PLC Tesla</t>
  </si>
  <si>
    <t>S0992</t>
  </si>
  <si>
    <t>CUST0992</t>
  </si>
  <si>
    <t>Randall LLC Tesla</t>
  </si>
  <si>
    <t>S0993</t>
  </si>
  <si>
    <t>CUST0993</t>
  </si>
  <si>
    <t>Rodriguez-Mason Tesla</t>
  </si>
  <si>
    <t>S0994</t>
  </si>
  <si>
    <t>CUST0994</t>
  </si>
  <si>
    <t>Williams, Jackson and Coleman Tesla</t>
  </si>
  <si>
    <t>S0995</t>
  </si>
  <si>
    <t>CUST0995</t>
  </si>
  <si>
    <t>Obrien-Bennett Tesla</t>
  </si>
  <si>
    <t>S0996</t>
  </si>
  <si>
    <t>CUST0996</t>
  </si>
  <si>
    <t>Perez-Sampson Tesla</t>
  </si>
  <si>
    <t>S0997</t>
  </si>
  <si>
    <t>CUST0997</t>
  </si>
  <si>
    <t>Rivera, Jenkins and Green Tesla</t>
  </si>
  <si>
    <t>S0998</t>
  </si>
  <si>
    <t>CUST0998</t>
  </si>
  <si>
    <t>Herrera-Wilson Tesla</t>
  </si>
  <si>
    <t>S0999</t>
  </si>
  <si>
    <t>CUST0999</t>
  </si>
  <si>
    <t>Washington-Villa Tesla</t>
  </si>
  <si>
    <t>S1000</t>
  </si>
  <si>
    <t>CUST1000</t>
  </si>
  <si>
    <t>Thomas-Bowers Tesla</t>
  </si>
  <si>
    <t>Row Labels</t>
  </si>
  <si>
    <t>Grand Total</t>
  </si>
  <si>
    <t>Jan</t>
  </si>
  <si>
    <t>Feb</t>
  </si>
  <si>
    <t>Mar</t>
  </si>
  <si>
    <t>Apr</t>
  </si>
  <si>
    <t>May</t>
  </si>
  <si>
    <t>Jun</t>
  </si>
  <si>
    <t>Jul</t>
  </si>
  <si>
    <t>Aug</t>
  </si>
  <si>
    <t>Sep</t>
  </si>
  <si>
    <t>Oct</t>
  </si>
  <si>
    <t>Nov</t>
  </si>
  <si>
    <t>Dec</t>
  </si>
  <si>
    <t>Sum of Sale_Amount_USD</t>
  </si>
  <si>
    <t>Sum of Units_Sold</t>
  </si>
  <si>
    <t>Cell Connector to "Total Sales Amount" Dashboard card</t>
  </si>
  <si>
    <t>Cell Connector to "Total Unit Sales" Dashboard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</si>
</sst>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09]* #,##0_ ;_-[$$-409]* \-#,##0\ ;_-[$$-409]* &quot;-&quot;??_ ;_-@_ "/>
    <numFmt numFmtId="165" formatCode="_-* #,##0_-;\-* #,##0_-;_-* &quot;-&quot;??_-;_-@_-"/>
  </numFmts>
  <fonts count="18" x14ac:knownFonts="1">
    <font>
      <sz val="11"/>
      <color theme="1"/>
      <name val="Calibri Light"/>
      <family val="2"/>
      <scheme val="minor"/>
    </font>
    <font>
      <sz val="11"/>
      <color theme="1"/>
      <name val="Calibri Light"/>
      <family val="2"/>
      <scheme val="minor"/>
    </font>
    <font>
      <sz val="18"/>
      <color theme="3"/>
      <name val="Calibri Light"/>
      <family val="2"/>
      <scheme val="major"/>
    </font>
    <font>
      <b/>
      <sz val="15"/>
      <color theme="3"/>
      <name val="Calibri Light"/>
      <family val="2"/>
      <scheme val="minor"/>
    </font>
    <font>
      <b/>
      <sz val="13"/>
      <color theme="3"/>
      <name val="Calibri Light"/>
      <family val="2"/>
      <scheme val="minor"/>
    </font>
    <font>
      <b/>
      <sz val="11"/>
      <color theme="3"/>
      <name val="Calibri Light"/>
      <family val="2"/>
      <scheme val="minor"/>
    </font>
    <font>
      <sz val="11"/>
      <color rgb="FF006100"/>
      <name val="Calibri Light"/>
      <family val="2"/>
      <scheme val="minor"/>
    </font>
    <font>
      <sz val="11"/>
      <color rgb="FF9C0006"/>
      <name val="Calibri Light"/>
      <family val="2"/>
      <scheme val="minor"/>
    </font>
    <font>
      <sz val="11"/>
      <color rgb="FF9C5700"/>
      <name val="Calibri Light"/>
      <family val="2"/>
      <scheme val="minor"/>
    </font>
    <font>
      <sz val="11"/>
      <color rgb="FF3F3F76"/>
      <name val="Calibri Light"/>
      <family val="2"/>
      <scheme val="minor"/>
    </font>
    <font>
      <b/>
      <sz val="11"/>
      <color rgb="FF3F3F3F"/>
      <name val="Calibri Light"/>
      <family val="2"/>
      <scheme val="minor"/>
    </font>
    <font>
      <b/>
      <sz val="11"/>
      <color rgb="FFFA7D00"/>
      <name val="Calibri Light"/>
      <family val="2"/>
      <scheme val="minor"/>
    </font>
    <font>
      <sz val="11"/>
      <color rgb="FFFA7D00"/>
      <name val="Calibri Light"/>
      <family val="2"/>
      <scheme val="minor"/>
    </font>
    <font>
      <b/>
      <sz val="11"/>
      <color theme="0"/>
      <name val="Calibri Light"/>
      <family val="2"/>
      <scheme val="minor"/>
    </font>
    <font>
      <sz val="11"/>
      <color rgb="FFFF0000"/>
      <name val="Calibri Light"/>
      <family val="2"/>
      <scheme val="minor"/>
    </font>
    <font>
      <i/>
      <sz val="11"/>
      <color rgb="FF7F7F7F"/>
      <name val="Calibri Light"/>
      <family val="2"/>
      <scheme val="minor"/>
    </font>
    <font>
      <b/>
      <sz val="11"/>
      <color theme="1"/>
      <name val="Calibri Light"/>
      <family val="2"/>
      <scheme val="minor"/>
    </font>
    <font>
      <sz val="11"/>
      <color theme="0"/>
      <name val="Calibri Light"/>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pivotButton="1" applyNumberFormat="1"/>
    <xf numFmtId="164" fontId="0" fillId="0" borderId="0" xfId="0" applyNumberFormat="1" applyAlignment="1">
      <alignment horizontal="left"/>
    </xf>
    <xf numFmtId="165" fontId="0" fillId="0" borderId="0" xfId="42" applyNumberFormat="1" applyFont="1"/>
    <xf numFmtId="0" fontId="0" fillId="33" borderId="0" xfId="0" applyFill="1"/>
    <xf numFmtId="0" fontId="0" fillId="0" borderId="0" xfId="0" applyNumberFormat="1"/>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21">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9" formatCode="dd/mm/yyyy"/>
    </dxf>
  </dxfs>
  <tableStyles count="0" defaultTableStyle="TableStyleMedium2" defaultPivotStyle="PivotStyleLight16"/>
  <colors>
    <mruColors>
      <color rgb="FFD9D9D9"/>
      <color rgb="FFA6A6A6"/>
      <color rgb="FF595959"/>
      <color rgb="FFC00000"/>
      <color rgb="FF7DC7FF"/>
      <color rgb="FF8A0000"/>
      <color rgb="FFE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[Tesla_sales_dataset.xlsx]Time Series of Sale Amount!PivotTable1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Time Series of Sale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of Sale Amount'!$B$3</c:f>
              <c:strCache>
                <c:ptCount val="1"/>
                <c:pt idx="0">
                  <c:v>Total</c:v>
                </c:pt>
              </c:strCache>
            </c:strRef>
          </c:tx>
          <c:spPr>
            <a:ln w="28575" cap="rnd">
              <a:solidFill>
                <a:schemeClr val="accent1"/>
              </a:solidFill>
              <a:round/>
            </a:ln>
            <a:effectLst/>
          </c:spPr>
          <c:marker>
            <c:symbol val="none"/>
          </c:marker>
          <c:cat>
            <c:strRef>
              <c:f>'Time Series of Sale Amount'!$A$4:$A$16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Series of Sale Amount'!$B$4:$B$16</c:f>
              <c:numCache>
                <c:formatCode>_-[$$-409]* #,##0_ ;_-[$$-409]* \-#,##0\ ;_-[$$-409]* "-"??_ ;_-@_ </c:formatCode>
                <c:ptCount val="12"/>
                <c:pt idx="0">
                  <c:v>10856000</c:v>
                </c:pt>
                <c:pt idx="1">
                  <c:v>9647000</c:v>
                </c:pt>
                <c:pt idx="2">
                  <c:v>15458000</c:v>
                </c:pt>
                <c:pt idx="3">
                  <c:v>11021000</c:v>
                </c:pt>
                <c:pt idx="4">
                  <c:v>11505000</c:v>
                </c:pt>
                <c:pt idx="5">
                  <c:v>9156000</c:v>
                </c:pt>
                <c:pt idx="6">
                  <c:v>11729000</c:v>
                </c:pt>
                <c:pt idx="7">
                  <c:v>8906000</c:v>
                </c:pt>
                <c:pt idx="8">
                  <c:v>8922000</c:v>
                </c:pt>
                <c:pt idx="9">
                  <c:v>9177000</c:v>
                </c:pt>
                <c:pt idx="10">
                  <c:v>13024000</c:v>
                </c:pt>
                <c:pt idx="11">
                  <c:v>11064000</c:v>
                </c:pt>
              </c:numCache>
            </c:numRef>
          </c:val>
          <c:smooth val="0"/>
          <c:extLst>
            <c:ext xmlns:c16="http://schemas.microsoft.com/office/drawing/2014/chart" uri="{C3380CC4-5D6E-409C-BE32-E72D297353CC}">
              <c16:uniqueId val="{00000000-4C2D-41D3-AA48-36B163DD30BC}"/>
            </c:ext>
          </c:extLst>
        </c:ser>
        <c:dLbls>
          <c:showLegendKey val="0"/>
          <c:showVal val="0"/>
          <c:showCatName val="0"/>
          <c:showSerName val="0"/>
          <c:showPercent val="0"/>
          <c:showBubbleSize val="0"/>
        </c:dLbls>
        <c:smooth val="0"/>
        <c:axId val="30107871"/>
        <c:axId val="30106431"/>
      </c:lineChart>
      <c:catAx>
        <c:axId val="3010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6431"/>
        <c:crosses val="autoZero"/>
        <c:auto val="1"/>
        <c:lblAlgn val="ctr"/>
        <c:lblOffset val="100"/>
        <c:noMultiLvlLbl val="0"/>
      </c:catAx>
      <c:valAx>
        <c:axId val="30106431"/>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[Tesla_sales_dataset.xlsx]Sale Amount by Country!PivotTable1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 Amount</a:t>
            </a:r>
            <a:r>
              <a:rPr lang="en-US" sz="1200" baseline="0"/>
              <a:t> by Country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64631404197388"/>
          <c:y val="0.20399872494303181"/>
          <c:w val="0.81404334231687892"/>
          <c:h val="0.70037117124455617"/>
        </c:manualLayout>
      </c:layout>
      <c:barChart>
        <c:barDir val="col"/>
        <c:grouping val="clustered"/>
        <c:varyColors val="0"/>
        <c:ser>
          <c:idx val="0"/>
          <c:order val="0"/>
          <c:tx>
            <c:strRef>
              <c:f>'Sale Amount by Country'!$B$3</c:f>
              <c:strCache>
                <c:ptCount val="1"/>
                <c:pt idx="0">
                  <c:v>Total</c:v>
                </c:pt>
              </c:strCache>
            </c:strRef>
          </c:tx>
          <c:spPr>
            <a:solidFill>
              <a:schemeClr val="accent1"/>
            </a:solidFill>
            <a:ln>
              <a:noFill/>
            </a:ln>
            <a:effectLst/>
          </c:spPr>
          <c:invertIfNegative val="0"/>
          <c:cat>
            <c:strRef>
              <c:f>'Sale Amount by Country'!$A$4:$A$9</c:f>
              <c:strCache>
                <c:ptCount val="5"/>
                <c:pt idx="0">
                  <c:v>Canada</c:v>
                </c:pt>
                <c:pt idx="1">
                  <c:v>China</c:v>
                </c:pt>
                <c:pt idx="2">
                  <c:v>France</c:v>
                </c:pt>
                <c:pt idx="3">
                  <c:v>Germany</c:v>
                </c:pt>
                <c:pt idx="4">
                  <c:v>India</c:v>
                </c:pt>
              </c:strCache>
            </c:strRef>
          </c:cat>
          <c:val>
            <c:numRef>
              <c:f>'Sale Amount by Country'!$B$4:$B$9</c:f>
              <c:numCache>
                <c:formatCode>_-[$$-409]* #,##0_ ;_-[$$-409]* \-#,##0\ ;_-[$$-409]* "-"??_ ;_-@_ </c:formatCode>
                <c:ptCount val="5"/>
                <c:pt idx="0">
                  <c:v>27521000</c:v>
                </c:pt>
                <c:pt idx="1">
                  <c:v>24447000</c:v>
                </c:pt>
                <c:pt idx="2">
                  <c:v>29816000</c:v>
                </c:pt>
                <c:pt idx="3">
                  <c:v>23416000</c:v>
                </c:pt>
                <c:pt idx="4">
                  <c:v>25265000</c:v>
                </c:pt>
              </c:numCache>
            </c:numRef>
          </c:val>
          <c:extLst>
            <c:ext xmlns:c16="http://schemas.microsoft.com/office/drawing/2014/chart" uri="{C3380CC4-5D6E-409C-BE32-E72D297353CC}">
              <c16:uniqueId val="{00000000-599A-4B7D-877F-0279696216B8}"/>
            </c:ext>
          </c:extLst>
        </c:ser>
        <c:dLbls>
          <c:showLegendKey val="0"/>
          <c:showVal val="0"/>
          <c:showCatName val="0"/>
          <c:showSerName val="0"/>
          <c:showPercent val="0"/>
          <c:showBubbleSize val="0"/>
        </c:dLbls>
        <c:gapWidth val="219"/>
        <c:overlap val="-27"/>
        <c:axId val="204174047"/>
        <c:axId val="204171647"/>
      </c:barChart>
      <c:catAx>
        <c:axId val="20417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71647"/>
        <c:crosses val="autoZero"/>
        <c:auto val="1"/>
        <c:lblAlgn val="ctr"/>
        <c:lblOffset val="100"/>
        <c:noMultiLvlLbl val="0"/>
      </c:catAx>
      <c:valAx>
        <c:axId val="20417164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7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[Tesla_sales_dataset.xlsx]Sale Unit by Car Model!PivotTable1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spc="0" baseline="0">
                <a:solidFill>
                  <a:sysClr val="windowText" lastClr="000000">
                    <a:lumMod val="65000"/>
                    <a:lumOff val="35000"/>
                  </a:sysClr>
                </a:solidFill>
              </a:rPr>
              <a:t>Sale Unit </a:t>
            </a:r>
            <a:r>
              <a:rPr lang="en-US" sz="1200"/>
              <a:t>by Car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5955818683144"/>
          <c:y val="0.17171296296296296"/>
          <c:w val="0.66806204834648475"/>
          <c:h val="0.77736111111111106"/>
        </c:manualLayout>
      </c:layout>
      <c:barChart>
        <c:barDir val="bar"/>
        <c:grouping val="clustered"/>
        <c:varyColors val="0"/>
        <c:ser>
          <c:idx val="0"/>
          <c:order val="0"/>
          <c:tx>
            <c:strRef>
              <c:f>'Sale Unit by Car Model'!$B$3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 Unit by Car Model'!$A$4:$A$8</c:f>
              <c:strCache>
                <c:ptCount val="4"/>
                <c:pt idx="0">
                  <c:v>Cybertruck</c:v>
                </c:pt>
                <c:pt idx="1">
                  <c:v>Model 3</c:v>
                </c:pt>
                <c:pt idx="2">
                  <c:v>Model S</c:v>
                </c:pt>
                <c:pt idx="3">
                  <c:v>Model X</c:v>
                </c:pt>
              </c:strCache>
            </c:strRef>
          </c:cat>
          <c:val>
            <c:numRef>
              <c:f>'Sale Unit by Car Model'!$B$4:$B$8</c:f>
              <c:numCache>
                <c:formatCode>General</c:formatCode>
                <c:ptCount val="4"/>
                <c:pt idx="0">
                  <c:v>376</c:v>
                </c:pt>
                <c:pt idx="1">
                  <c:v>343</c:v>
                </c:pt>
                <c:pt idx="2">
                  <c:v>376</c:v>
                </c:pt>
                <c:pt idx="3">
                  <c:v>377</c:v>
                </c:pt>
              </c:numCache>
            </c:numRef>
          </c:val>
          <c:extLst>
            <c:ext xmlns:c16="http://schemas.microsoft.com/office/drawing/2014/chart" uri="{C3380CC4-5D6E-409C-BE32-E72D297353CC}">
              <c16:uniqueId val="{00000000-F4A5-4124-AA00-DDAC5EAB8C96}"/>
            </c:ext>
          </c:extLst>
        </c:ser>
        <c:dLbls>
          <c:showLegendKey val="0"/>
          <c:showVal val="0"/>
          <c:showCatName val="0"/>
          <c:showSerName val="0"/>
          <c:showPercent val="0"/>
          <c:showBubbleSize val="0"/>
        </c:dLbls>
        <c:gapWidth val="150"/>
        <c:axId val="244458239"/>
        <c:axId val="244455359"/>
      </c:barChart>
      <c:catAx>
        <c:axId val="24445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55359"/>
        <c:crosses val="autoZero"/>
        <c:auto val="1"/>
        <c:lblAlgn val="ctr"/>
        <c:lblOffset val="100"/>
        <c:noMultiLvlLbl val="0"/>
      </c:catAx>
      <c:valAx>
        <c:axId val="244455359"/>
        <c:scaling>
          <c:orientation val="minMax"/>
        </c:scaling>
        <c:delete val="1"/>
        <c:axPos val="b"/>
        <c:numFmt formatCode="General" sourceLinked="1"/>
        <c:majorTickMark val="none"/>
        <c:minorTickMark val="none"/>
        <c:tickLblPos val="nextTo"/>
        <c:crossAx val="24445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[Tesla_sales_dataset.xlsx]Sale Amount by Car Color!PivotTable1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a:t>
            </a:r>
            <a:r>
              <a:rPr lang="en-US" sz="1200" baseline="0"/>
              <a:t> Amount (in %) by Car Color</a:t>
            </a:r>
            <a:endParaRPr lang="en-US" sz="1200"/>
          </a:p>
        </c:rich>
      </c:tx>
      <c:layout>
        <c:manualLayout>
          <c:xMode val="edge"/>
          <c:yMode val="edge"/>
          <c:x val="0.24721144875725876"/>
          <c:y val="3.9005173560225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8"/>
        <c:spPr>
          <a:solidFill>
            <a:schemeClr val="tx1">
              <a:lumMod val="65000"/>
              <a:lumOff val="35000"/>
            </a:schemeClr>
          </a:solidFill>
          <a:ln w="19050">
            <a:solidFill>
              <a:schemeClr val="lt1"/>
            </a:solidFill>
          </a:ln>
          <a:effectLst/>
        </c:spPr>
        <c:dLbl>
          <c:idx val="0"/>
          <c:layout>
            <c:manualLayout>
              <c:x val="0.10097560199918548"/>
              <c:y val="-5.2747216234513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9"/>
        <c:spPr>
          <a:solidFill>
            <a:srgbClr val="7DC7FF"/>
          </a:solidFill>
          <a:ln w="19050">
            <a:solidFill>
              <a:schemeClr val="lt1"/>
            </a:solidFill>
          </a:ln>
          <a:effectLst/>
        </c:spPr>
        <c:dLbl>
          <c:idx val="0"/>
          <c:layout>
            <c:manualLayout>
              <c:x val="0.14802694869968785"/>
              <c:y val="-1.23541976886619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0"/>
        <c:spPr>
          <a:solidFill>
            <a:srgbClr val="C00000"/>
          </a:solidFill>
          <a:ln w="19050">
            <a:solidFill>
              <a:schemeClr val="lt1"/>
            </a:solidFill>
          </a:ln>
          <a:effectLst/>
        </c:spPr>
        <c:dLbl>
          <c:idx val="0"/>
          <c:layout>
            <c:manualLayout>
              <c:x val="0.16776160078707822"/>
              <c:y val="5.90631489664907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
        <c:spPr>
          <a:solidFill>
            <a:schemeClr val="bg1">
              <a:lumMod val="65000"/>
            </a:schemeClr>
          </a:solidFill>
          <a:ln w="19050">
            <a:solidFill>
              <a:schemeClr val="lt1"/>
            </a:solidFill>
          </a:ln>
          <a:effectLst/>
        </c:spPr>
        <c:dLbl>
          <c:idx val="0"/>
          <c:layout>
            <c:manualLayout>
              <c:x val="-0.10975608912954953"/>
              <c:y val="0.10549443246902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2"/>
        <c:spPr>
          <a:solidFill>
            <a:schemeClr val="bg1">
              <a:lumMod val="85000"/>
            </a:schemeClr>
          </a:solidFill>
          <a:ln w="19050">
            <a:solidFill>
              <a:schemeClr val="lt1"/>
            </a:solidFill>
          </a:ln>
          <a:effectLst/>
        </c:spPr>
        <c:dLbl>
          <c:idx val="0"/>
          <c:layout>
            <c:manualLayout>
              <c:x val="-0.1141463326947315"/>
              <c:y val="-3.9560412175884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168347093070949"/>
          <c:y val="0.24777908534403642"/>
          <c:w val="0.40397603964078821"/>
          <c:h val="0.60670356895141031"/>
        </c:manualLayout>
      </c:layout>
      <c:doughnutChart>
        <c:varyColors val="1"/>
        <c:ser>
          <c:idx val="0"/>
          <c:order val="0"/>
          <c:tx>
            <c:strRef>
              <c:f>'Sale Amount by Car Color'!$B$3</c:f>
              <c:strCache>
                <c:ptCount val="1"/>
                <c:pt idx="0">
                  <c:v>Total</c:v>
                </c:pt>
              </c:strCache>
            </c:strRef>
          </c:tx>
          <c:dPt>
            <c:idx val="0"/>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1-5FC4-4110-BBB3-D634B7736719}"/>
              </c:ext>
            </c:extLst>
          </c:dPt>
          <c:dPt>
            <c:idx val="1"/>
            <c:bubble3D val="0"/>
            <c:spPr>
              <a:solidFill>
                <a:srgbClr val="7DC7FF"/>
              </a:solidFill>
              <a:ln w="19050">
                <a:solidFill>
                  <a:schemeClr val="lt1"/>
                </a:solidFill>
              </a:ln>
              <a:effectLst/>
            </c:spPr>
            <c:extLst>
              <c:ext xmlns:c16="http://schemas.microsoft.com/office/drawing/2014/chart" uri="{C3380CC4-5D6E-409C-BE32-E72D297353CC}">
                <c16:uniqueId val="{00000003-5FC4-4110-BBB3-D634B7736719}"/>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5FC4-4110-BBB3-D634B7736719}"/>
              </c:ext>
            </c:extLst>
          </c:dPt>
          <c:dPt>
            <c:idx val="3"/>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7-5FC4-4110-BBB3-D634B7736719}"/>
              </c:ext>
            </c:extLst>
          </c:dPt>
          <c:dPt>
            <c:idx val="4"/>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5FC4-4110-BBB3-D634B7736719}"/>
              </c:ext>
            </c:extLst>
          </c:dPt>
          <c:dLbls>
            <c:dLbl>
              <c:idx val="0"/>
              <c:layout>
                <c:manualLayout>
                  <c:x val="0.10097560199918548"/>
                  <c:y val="-5.2747216234513325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C4-4110-BBB3-D634B7736719}"/>
                </c:ext>
              </c:extLst>
            </c:dLbl>
            <c:dLbl>
              <c:idx val="1"/>
              <c:layout>
                <c:manualLayout>
                  <c:x val="0.14802694869968785"/>
                  <c:y val="-1.2354197688661934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C4-4110-BBB3-D634B7736719}"/>
                </c:ext>
              </c:extLst>
            </c:dLbl>
            <c:dLbl>
              <c:idx val="2"/>
              <c:layout>
                <c:manualLayout>
                  <c:x val="0.16776160078707822"/>
                  <c:y val="5.9063148966490751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C4-4110-BBB3-D634B7736719}"/>
                </c:ext>
              </c:extLst>
            </c:dLbl>
            <c:dLbl>
              <c:idx val="3"/>
              <c:layout>
                <c:manualLayout>
                  <c:x val="-0.10975608912954953"/>
                  <c:y val="0.10549443246902658"/>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FC4-4110-BBB3-D634B7736719}"/>
                </c:ext>
              </c:extLst>
            </c:dLbl>
            <c:dLbl>
              <c:idx val="4"/>
              <c:layout>
                <c:manualLayout>
                  <c:x val="-0.1141463326947315"/>
                  <c:y val="-3.9560412175884997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FC4-4110-BBB3-D634B77367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 Amount by Car Color'!$A$4:$A$9</c:f>
              <c:strCache>
                <c:ptCount val="5"/>
                <c:pt idx="0">
                  <c:v>Black</c:v>
                </c:pt>
                <c:pt idx="1">
                  <c:v>Blue</c:v>
                </c:pt>
                <c:pt idx="2">
                  <c:v>Red</c:v>
                </c:pt>
                <c:pt idx="3">
                  <c:v>Silver</c:v>
                </c:pt>
                <c:pt idx="4">
                  <c:v>White</c:v>
                </c:pt>
              </c:strCache>
            </c:strRef>
          </c:cat>
          <c:val>
            <c:numRef>
              <c:f>'Sale Amount by Car Color'!$B$4:$B$9</c:f>
              <c:numCache>
                <c:formatCode>_-[$$-409]* #,##0_ ;_-[$$-409]* \-#,##0\ ;_-[$$-409]* "-"??_ ;_-@_ </c:formatCode>
                <c:ptCount val="5"/>
                <c:pt idx="0">
                  <c:v>27945000</c:v>
                </c:pt>
                <c:pt idx="1">
                  <c:v>23003000</c:v>
                </c:pt>
                <c:pt idx="2">
                  <c:v>29948000</c:v>
                </c:pt>
                <c:pt idx="3">
                  <c:v>23094000</c:v>
                </c:pt>
                <c:pt idx="4">
                  <c:v>26475000</c:v>
                </c:pt>
              </c:numCache>
            </c:numRef>
          </c:val>
          <c:extLst>
            <c:ext xmlns:c16="http://schemas.microsoft.com/office/drawing/2014/chart" uri="{C3380CC4-5D6E-409C-BE32-E72D297353CC}">
              <c16:uniqueId val="{0000000A-5FC4-4110-BBB3-D634B773671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[Tesla_sales_dataset.xlsx]Sale Amount by Customer Type!PivotTable1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Sale Amount (in</a:t>
            </a:r>
            <a:r>
              <a:rPr lang="en-US" sz="1100" baseline="0"/>
              <a:t> </a:t>
            </a:r>
            <a:r>
              <a:rPr lang="en-US" sz="1100"/>
              <a:t>%) by Customer Type</a:t>
            </a:r>
          </a:p>
        </c:rich>
      </c:tx>
      <c:layout>
        <c:manualLayout>
          <c:xMode val="edge"/>
          <c:yMode val="edge"/>
          <c:x val="0.10181069248175882"/>
          <c:y val="5.3178042283871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494502415701807"/>
              <c:y val="0.219359424420969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926972610630254"/>
              <c:y val="-0.13294510570967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6657248690318358"/>
              <c:y val="-0.21271216913548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881040575265297"/>
              <c:y val="0.212712169135485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323681455986352"/>
          <c:y val="0.24441434278796359"/>
          <c:w val="0.50961841308298006"/>
          <c:h val="0.64576159313136072"/>
        </c:manualLayout>
      </c:layout>
      <c:doughnutChart>
        <c:varyColors val="1"/>
        <c:ser>
          <c:idx val="0"/>
          <c:order val="0"/>
          <c:tx>
            <c:strRef>
              <c:f>'Sale Amount by Customer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FA-46B6-918E-7AEB06D526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FA-46B6-918E-7AEB06D5264E}"/>
              </c:ext>
            </c:extLst>
          </c:dPt>
          <c:dLbls>
            <c:dLbl>
              <c:idx val="0"/>
              <c:layout>
                <c:manualLayout>
                  <c:x val="0.13881040575265297"/>
                  <c:y val="0.21271216913548519"/>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FA-46B6-918E-7AEB06D5264E}"/>
                </c:ext>
              </c:extLst>
            </c:dLbl>
            <c:dLbl>
              <c:idx val="1"/>
              <c:layout>
                <c:manualLayout>
                  <c:x val="-0.16657248690318358"/>
                  <c:y val="-0.21271216913548521"/>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FA-46B6-918E-7AEB06D526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 Amount by Customer Type'!$A$4:$A$6</c:f>
              <c:strCache>
                <c:ptCount val="2"/>
                <c:pt idx="0">
                  <c:v>Corporate</c:v>
                </c:pt>
                <c:pt idx="1">
                  <c:v>Individual</c:v>
                </c:pt>
              </c:strCache>
            </c:strRef>
          </c:cat>
          <c:val>
            <c:numRef>
              <c:f>'Sale Amount by Customer Type'!$B$4:$B$6</c:f>
              <c:numCache>
                <c:formatCode>_-[$$-409]* #,##0_ ;_-[$$-409]* \-#,##0\ ;_-[$$-409]* "-"??_ ;_-@_ </c:formatCode>
                <c:ptCount val="2"/>
                <c:pt idx="0">
                  <c:v>72483000</c:v>
                </c:pt>
                <c:pt idx="1">
                  <c:v>57982000</c:v>
                </c:pt>
              </c:numCache>
            </c:numRef>
          </c:val>
          <c:extLst>
            <c:ext xmlns:c16="http://schemas.microsoft.com/office/drawing/2014/chart" uri="{C3380CC4-5D6E-409C-BE32-E72D297353CC}">
              <c16:uniqueId val="{00000004-C4FA-46B6-918E-7AEB06D5264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[Tesla_sales_dataset.xlsx]Time Series of Sale Amount!PivotTable1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Series of Sale</a:t>
            </a:r>
            <a:r>
              <a:rPr lang="en-US" baseline="0"/>
              <a:t> </a:t>
            </a:r>
            <a:r>
              <a:rPr lang="en-US"/>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of Sale Amount'!$B$3</c:f>
              <c:strCache>
                <c:ptCount val="1"/>
                <c:pt idx="0">
                  <c:v>Total</c:v>
                </c:pt>
              </c:strCache>
            </c:strRef>
          </c:tx>
          <c:spPr>
            <a:ln w="28575" cap="rnd">
              <a:solidFill>
                <a:schemeClr val="accent1"/>
              </a:solidFill>
              <a:round/>
            </a:ln>
            <a:effectLst/>
          </c:spPr>
          <c:marker>
            <c:symbol val="none"/>
          </c:marker>
          <c:cat>
            <c:strRef>
              <c:f>'Time Series of Sale Amount'!$A$4:$A$16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Series of Sale Amount'!$B$4:$B$16</c:f>
              <c:numCache>
                <c:formatCode>_-[$$-409]* #,##0_ ;_-[$$-409]* \-#,##0\ ;_-[$$-409]* "-"??_ ;_-@_ </c:formatCode>
                <c:ptCount val="12"/>
                <c:pt idx="0">
                  <c:v>10856000</c:v>
                </c:pt>
                <c:pt idx="1">
                  <c:v>9647000</c:v>
                </c:pt>
                <c:pt idx="2">
                  <c:v>15458000</c:v>
                </c:pt>
                <c:pt idx="3">
                  <c:v>11021000</c:v>
                </c:pt>
                <c:pt idx="4">
                  <c:v>11505000</c:v>
                </c:pt>
                <c:pt idx="5">
                  <c:v>9156000</c:v>
                </c:pt>
                <c:pt idx="6">
                  <c:v>11729000</c:v>
                </c:pt>
                <c:pt idx="7">
                  <c:v>8906000</c:v>
                </c:pt>
                <c:pt idx="8">
                  <c:v>8922000</c:v>
                </c:pt>
                <c:pt idx="9">
                  <c:v>9177000</c:v>
                </c:pt>
                <c:pt idx="10">
                  <c:v>13024000</c:v>
                </c:pt>
                <c:pt idx="11">
                  <c:v>11064000</c:v>
                </c:pt>
              </c:numCache>
            </c:numRef>
          </c:val>
          <c:smooth val="0"/>
          <c:extLst>
            <c:ext xmlns:c16="http://schemas.microsoft.com/office/drawing/2014/chart" uri="{C3380CC4-5D6E-409C-BE32-E72D297353CC}">
              <c16:uniqueId val="{00000000-BA21-480C-BB52-6043D4D80ECB}"/>
            </c:ext>
          </c:extLst>
        </c:ser>
        <c:dLbls>
          <c:showLegendKey val="0"/>
          <c:showVal val="0"/>
          <c:showCatName val="0"/>
          <c:showSerName val="0"/>
          <c:showPercent val="0"/>
          <c:showBubbleSize val="0"/>
        </c:dLbls>
        <c:smooth val="0"/>
        <c:axId val="30107871"/>
        <c:axId val="30106431"/>
      </c:lineChart>
      <c:catAx>
        <c:axId val="3010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6431"/>
        <c:crosses val="autoZero"/>
        <c:auto val="1"/>
        <c:lblAlgn val="ctr"/>
        <c:lblOffset val="100"/>
        <c:noMultiLvlLbl val="0"/>
      </c:catAx>
      <c:valAx>
        <c:axId val="30106431"/>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[Tesla_sales_dataset.xlsx]Sale Unit by Car Model!PivotTable1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Unit by Car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6758530183728"/>
          <c:y val="0.17171296296296296"/>
          <c:w val="0.77393241469816265"/>
          <c:h val="0.77736111111111106"/>
        </c:manualLayout>
      </c:layout>
      <c:barChart>
        <c:barDir val="bar"/>
        <c:grouping val="clustered"/>
        <c:varyColors val="0"/>
        <c:ser>
          <c:idx val="0"/>
          <c:order val="0"/>
          <c:tx>
            <c:strRef>
              <c:f>'Sale Unit by Car Model'!$B$3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 Unit by Car Model'!$A$4:$A$8</c:f>
              <c:strCache>
                <c:ptCount val="4"/>
                <c:pt idx="0">
                  <c:v>Cybertruck</c:v>
                </c:pt>
                <c:pt idx="1">
                  <c:v>Model 3</c:v>
                </c:pt>
                <c:pt idx="2">
                  <c:v>Model S</c:v>
                </c:pt>
                <c:pt idx="3">
                  <c:v>Model X</c:v>
                </c:pt>
              </c:strCache>
            </c:strRef>
          </c:cat>
          <c:val>
            <c:numRef>
              <c:f>'Sale Unit by Car Model'!$B$4:$B$8</c:f>
              <c:numCache>
                <c:formatCode>General</c:formatCode>
                <c:ptCount val="4"/>
                <c:pt idx="0">
                  <c:v>376</c:v>
                </c:pt>
                <c:pt idx="1">
                  <c:v>343</c:v>
                </c:pt>
                <c:pt idx="2">
                  <c:v>376</c:v>
                </c:pt>
                <c:pt idx="3">
                  <c:v>377</c:v>
                </c:pt>
              </c:numCache>
            </c:numRef>
          </c:val>
          <c:extLst>
            <c:ext xmlns:c16="http://schemas.microsoft.com/office/drawing/2014/chart" uri="{C3380CC4-5D6E-409C-BE32-E72D297353CC}">
              <c16:uniqueId val="{00000002-C68D-4B9A-A2EC-025137292963}"/>
            </c:ext>
          </c:extLst>
        </c:ser>
        <c:dLbls>
          <c:showLegendKey val="0"/>
          <c:showVal val="0"/>
          <c:showCatName val="0"/>
          <c:showSerName val="0"/>
          <c:showPercent val="0"/>
          <c:showBubbleSize val="0"/>
        </c:dLbls>
        <c:gapWidth val="150"/>
        <c:axId val="244458239"/>
        <c:axId val="244455359"/>
      </c:barChart>
      <c:catAx>
        <c:axId val="24445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55359"/>
        <c:crosses val="autoZero"/>
        <c:auto val="1"/>
        <c:lblAlgn val="ctr"/>
        <c:lblOffset val="100"/>
        <c:noMultiLvlLbl val="0"/>
      </c:catAx>
      <c:valAx>
        <c:axId val="244455359"/>
        <c:scaling>
          <c:orientation val="minMax"/>
        </c:scaling>
        <c:delete val="1"/>
        <c:axPos val="b"/>
        <c:numFmt formatCode="General" sourceLinked="1"/>
        <c:majorTickMark val="none"/>
        <c:minorTickMark val="none"/>
        <c:tickLblPos val="nextTo"/>
        <c:crossAx val="24445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[Tesla_sales_dataset.xlsx]Sale Amount by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Amount</a:t>
            </a:r>
            <a:r>
              <a:rPr lang="en-US" baseline="0"/>
              <a:t> by Country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 Amount by Country'!$B$3</c:f>
              <c:strCache>
                <c:ptCount val="1"/>
                <c:pt idx="0">
                  <c:v>Total</c:v>
                </c:pt>
              </c:strCache>
            </c:strRef>
          </c:tx>
          <c:spPr>
            <a:solidFill>
              <a:schemeClr val="accent1"/>
            </a:solidFill>
            <a:ln>
              <a:noFill/>
            </a:ln>
            <a:effectLst/>
          </c:spPr>
          <c:invertIfNegative val="0"/>
          <c:cat>
            <c:strRef>
              <c:f>'Sale Amount by Country'!$A$4:$A$9</c:f>
              <c:strCache>
                <c:ptCount val="5"/>
                <c:pt idx="0">
                  <c:v>Canada</c:v>
                </c:pt>
                <c:pt idx="1">
                  <c:v>China</c:v>
                </c:pt>
                <c:pt idx="2">
                  <c:v>France</c:v>
                </c:pt>
                <c:pt idx="3">
                  <c:v>Germany</c:v>
                </c:pt>
                <c:pt idx="4">
                  <c:v>India</c:v>
                </c:pt>
              </c:strCache>
            </c:strRef>
          </c:cat>
          <c:val>
            <c:numRef>
              <c:f>'Sale Amount by Country'!$B$4:$B$9</c:f>
              <c:numCache>
                <c:formatCode>_-[$$-409]* #,##0_ ;_-[$$-409]* \-#,##0\ ;_-[$$-409]* "-"??_ ;_-@_ </c:formatCode>
                <c:ptCount val="5"/>
                <c:pt idx="0">
                  <c:v>27521000</c:v>
                </c:pt>
                <c:pt idx="1">
                  <c:v>24447000</c:v>
                </c:pt>
                <c:pt idx="2">
                  <c:v>29816000</c:v>
                </c:pt>
                <c:pt idx="3">
                  <c:v>23416000</c:v>
                </c:pt>
                <c:pt idx="4">
                  <c:v>25265000</c:v>
                </c:pt>
              </c:numCache>
            </c:numRef>
          </c:val>
          <c:extLst>
            <c:ext xmlns:c16="http://schemas.microsoft.com/office/drawing/2014/chart" uri="{C3380CC4-5D6E-409C-BE32-E72D297353CC}">
              <c16:uniqueId val="{00000000-0FF9-48FA-B336-5C07C268145F}"/>
            </c:ext>
          </c:extLst>
        </c:ser>
        <c:dLbls>
          <c:showLegendKey val="0"/>
          <c:showVal val="0"/>
          <c:showCatName val="0"/>
          <c:showSerName val="0"/>
          <c:showPercent val="0"/>
          <c:showBubbleSize val="0"/>
        </c:dLbls>
        <c:gapWidth val="219"/>
        <c:overlap val="-27"/>
        <c:axId val="204174047"/>
        <c:axId val="204171647"/>
      </c:barChart>
      <c:catAx>
        <c:axId val="20417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71647"/>
        <c:crosses val="autoZero"/>
        <c:auto val="1"/>
        <c:lblAlgn val="ctr"/>
        <c:lblOffset val="100"/>
        <c:noMultiLvlLbl val="0"/>
      </c:catAx>
      <c:valAx>
        <c:axId val="20417164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7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[Tesla_sales_dataset.xlsx]Sale Amount by Car Color!PivotTable1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Amount (in %) by Car Color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595959"/>
          </a:solidFill>
          <a:ln w="19050">
            <a:solidFill>
              <a:schemeClr val="lt1"/>
            </a:solidFill>
          </a:ln>
          <a:effectLst/>
        </c:spPr>
        <c:dLbl>
          <c:idx val="0"/>
          <c:layout>
            <c:manualLayout>
              <c:x val="0.13879003558718861"/>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7DC7FF"/>
          </a:solidFill>
          <a:ln w="19050">
            <a:solidFill>
              <a:schemeClr val="lt1"/>
            </a:solidFill>
          </a:ln>
          <a:effectLst/>
        </c:spPr>
        <c:dLbl>
          <c:idx val="0"/>
          <c:layout>
            <c:manualLayout>
              <c:x val="9.2526690391459068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dLbl>
          <c:idx val="0"/>
          <c:layout>
            <c:manualLayout>
              <c:x val="-0.13879003558718861"/>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A6A6A6"/>
          </a:solidFill>
          <a:ln w="19050">
            <a:solidFill>
              <a:schemeClr val="lt1"/>
            </a:solidFill>
          </a:ln>
          <a:effectLst/>
        </c:spPr>
        <c:dLbl>
          <c:idx val="0"/>
          <c:layout>
            <c:manualLayout>
              <c:x val="-8.1850533807829196E-2"/>
              <c:y val="0.120370370370370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D9D9D9"/>
          </a:solidFill>
          <a:ln w="19050">
            <a:solidFill>
              <a:schemeClr val="lt1"/>
            </a:solidFill>
          </a:ln>
          <a:effectLst/>
        </c:spPr>
        <c:dLbl>
          <c:idx val="0"/>
          <c:layout>
            <c:manualLayout>
              <c:x val="-0.13879003558718864"/>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61422927116317"/>
          <c:y val="0.20723188172906959"/>
          <c:w val="0.50016504609521673"/>
          <c:h val="0.57365868552145272"/>
        </c:manualLayout>
      </c:layout>
      <c:doughnutChart>
        <c:varyColors val="1"/>
        <c:ser>
          <c:idx val="0"/>
          <c:order val="0"/>
          <c:tx>
            <c:strRef>
              <c:f>'Sale Amount by Car Color'!$B$3</c:f>
              <c:strCache>
                <c:ptCount val="1"/>
                <c:pt idx="0">
                  <c:v>Total</c:v>
                </c:pt>
              </c:strCache>
            </c:strRef>
          </c:tx>
          <c:dPt>
            <c:idx val="0"/>
            <c:bubble3D val="0"/>
            <c:spPr>
              <a:solidFill>
                <a:srgbClr val="595959"/>
              </a:solidFill>
              <a:ln w="19050">
                <a:solidFill>
                  <a:schemeClr val="lt1"/>
                </a:solidFill>
              </a:ln>
              <a:effectLst/>
            </c:spPr>
            <c:extLst>
              <c:ext xmlns:c16="http://schemas.microsoft.com/office/drawing/2014/chart" uri="{C3380CC4-5D6E-409C-BE32-E72D297353CC}">
                <c16:uniqueId val="{00000001-8E4E-4D0F-8806-90656D7FEE04}"/>
              </c:ext>
            </c:extLst>
          </c:dPt>
          <c:dPt>
            <c:idx val="1"/>
            <c:bubble3D val="0"/>
            <c:spPr>
              <a:solidFill>
                <a:srgbClr val="7DC7FF"/>
              </a:solidFill>
              <a:ln w="19050">
                <a:solidFill>
                  <a:schemeClr val="lt1"/>
                </a:solidFill>
              </a:ln>
              <a:effectLst/>
            </c:spPr>
            <c:extLst>
              <c:ext xmlns:c16="http://schemas.microsoft.com/office/drawing/2014/chart" uri="{C3380CC4-5D6E-409C-BE32-E72D297353CC}">
                <c16:uniqueId val="{00000003-8E4E-4D0F-8806-90656D7FEE04}"/>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8E4E-4D0F-8806-90656D7FEE04}"/>
              </c:ext>
            </c:extLst>
          </c:dPt>
          <c:dPt>
            <c:idx val="3"/>
            <c:bubble3D val="0"/>
            <c:spPr>
              <a:solidFill>
                <a:srgbClr val="A6A6A6"/>
              </a:solidFill>
              <a:ln w="19050">
                <a:solidFill>
                  <a:schemeClr val="lt1"/>
                </a:solidFill>
              </a:ln>
              <a:effectLst/>
            </c:spPr>
            <c:extLst>
              <c:ext xmlns:c16="http://schemas.microsoft.com/office/drawing/2014/chart" uri="{C3380CC4-5D6E-409C-BE32-E72D297353CC}">
                <c16:uniqueId val="{00000007-8E4E-4D0F-8806-90656D7FEE04}"/>
              </c:ext>
            </c:extLst>
          </c:dPt>
          <c:dPt>
            <c:idx val="4"/>
            <c:bubble3D val="0"/>
            <c:spPr>
              <a:solidFill>
                <a:srgbClr val="D9D9D9"/>
              </a:solidFill>
              <a:ln w="19050">
                <a:solidFill>
                  <a:schemeClr val="lt1"/>
                </a:solidFill>
              </a:ln>
              <a:effectLst/>
            </c:spPr>
            <c:extLst>
              <c:ext xmlns:c16="http://schemas.microsoft.com/office/drawing/2014/chart" uri="{C3380CC4-5D6E-409C-BE32-E72D297353CC}">
                <c16:uniqueId val="{00000009-8E4E-4D0F-8806-90656D7FEE04}"/>
              </c:ext>
            </c:extLst>
          </c:dPt>
          <c:dLbls>
            <c:dLbl>
              <c:idx val="0"/>
              <c:layout>
                <c:manualLayout>
                  <c:x val="0.13879003558718861"/>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4E-4D0F-8806-90656D7FEE04}"/>
                </c:ext>
              </c:extLst>
            </c:dLbl>
            <c:dLbl>
              <c:idx val="1"/>
              <c:layout>
                <c:manualLayout>
                  <c:x val="9.2526690391459068E-2"/>
                  <c:y val="0.148148148148148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E4E-4D0F-8806-90656D7FEE04}"/>
                </c:ext>
              </c:extLst>
            </c:dLbl>
            <c:dLbl>
              <c:idx val="2"/>
              <c:layout>
                <c:manualLayout>
                  <c:x val="-0.13879003558718861"/>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E4E-4D0F-8806-90656D7FEE04}"/>
                </c:ext>
              </c:extLst>
            </c:dLbl>
            <c:dLbl>
              <c:idx val="3"/>
              <c:layout>
                <c:manualLayout>
                  <c:x val="-8.1850533807829196E-2"/>
                  <c:y val="0.1203703703703702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E4E-4D0F-8806-90656D7FEE04}"/>
                </c:ext>
              </c:extLst>
            </c:dLbl>
            <c:dLbl>
              <c:idx val="4"/>
              <c:layout>
                <c:manualLayout>
                  <c:x val="-0.13879003558718864"/>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E4E-4D0F-8806-90656D7FEE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 Amount by Car Color'!$A$4:$A$9</c:f>
              <c:strCache>
                <c:ptCount val="5"/>
                <c:pt idx="0">
                  <c:v>Black</c:v>
                </c:pt>
                <c:pt idx="1">
                  <c:v>Blue</c:v>
                </c:pt>
                <c:pt idx="2">
                  <c:v>Red</c:v>
                </c:pt>
                <c:pt idx="3">
                  <c:v>Silver</c:v>
                </c:pt>
                <c:pt idx="4">
                  <c:v>White</c:v>
                </c:pt>
              </c:strCache>
            </c:strRef>
          </c:cat>
          <c:val>
            <c:numRef>
              <c:f>'Sale Amount by Car Color'!$B$4:$B$9</c:f>
              <c:numCache>
                <c:formatCode>_-[$$-409]* #,##0_ ;_-[$$-409]* \-#,##0\ ;_-[$$-409]* "-"??_ ;_-@_ </c:formatCode>
                <c:ptCount val="5"/>
                <c:pt idx="0">
                  <c:v>27945000</c:v>
                </c:pt>
                <c:pt idx="1">
                  <c:v>23003000</c:v>
                </c:pt>
                <c:pt idx="2">
                  <c:v>29948000</c:v>
                </c:pt>
                <c:pt idx="3">
                  <c:v>23094000</c:v>
                </c:pt>
                <c:pt idx="4">
                  <c:v>26475000</c:v>
                </c:pt>
              </c:numCache>
            </c:numRef>
          </c:val>
          <c:extLst>
            <c:ext xmlns:c16="http://schemas.microsoft.com/office/drawing/2014/chart" uri="{C3380CC4-5D6E-409C-BE32-E72D297353CC}">
              <c16:uniqueId val="{00000000-254A-4F44-8A5A-CA2F534384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4241404432986804"/>
          <c:y val="0.86676394022175796"/>
          <c:w val="0.53694538627511423"/>
          <c:h val="9.54105736782902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[Tesla_sales_dataset.xlsx]Sale Amount by Customer Type!PivotTable1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 Amount (in %)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392405063291124"/>
              <c:y val="0.17543859649122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080168776371306"/>
              <c:y val="8.0200501253132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4345991561181434"/>
              <c:y val="0.2556390977443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4767932489451477"/>
              <c:y val="-0.195488721804511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973553938669057"/>
          <c:y val="0.19134489767726404"/>
          <c:w val="0.52143293797136114"/>
          <c:h val="0.61944664811635386"/>
        </c:manualLayout>
      </c:layout>
      <c:doughnutChart>
        <c:varyColors val="1"/>
        <c:ser>
          <c:idx val="0"/>
          <c:order val="0"/>
          <c:tx>
            <c:strRef>
              <c:f>'Sale Amount by Customer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1A-429B-8757-5DF7528274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1A-429B-8757-5DF75282747E}"/>
              </c:ext>
            </c:extLst>
          </c:dPt>
          <c:dLbls>
            <c:dLbl>
              <c:idx val="0"/>
              <c:layout>
                <c:manualLayout>
                  <c:x val="0.14345991561181434"/>
                  <c:y val="0.25563909774436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11A-429B-8757-5DF75282747E}"/>
                </c:ext>
              </c:extLst>
            </c:dLbl>
            <c:dLbl>
              <c:idx val="1"/>
              <c:layout>
                <c:manualLayout>
                  <c:x val="-0.14767932489451477"/>
                  <c:y val="-0.1954887218045112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1A-429B-8757-5DF7528274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 Amount by Customer Type'!$A$4:$A$6</c:f>
              <c:strCache>
                <c:ptCount val="2"/>
                <c:pt idx="0">
                  <c:v>Corporate</c:v>
                </c:pt>
                <c:pt idx="1">
                  <c:v>Individual</c:v>
                </c:pt>
              </c:strCache>
            </c:strRef>
          </c:cat>
          <c:val>
            <c:numRef>
              <c:f>'Sale Amount by Customer Type'!$B$4:$B$6</c:f>
              <c:numCache>
                <c:formatCode>_-[$$-409]* #,##0_ ;_-[$$-409]* \-#,##0\ ;_-[$$-409]* "-"??_ ;_-@_ </c:formatCode>
                <c:ptCount val="2"/>
                <c:pt idx="0">
                  <c:v>72483000</c:v>
                </c:pt>
                <c:pt idx="1">
                  <c:v>57982000</c:v>
                </c:pt>
              </c:numCache>
            </c:numRef>
          </c:val>
          <c:extLst>
            <c:ext xmlns:c16="http://schemas.microsoft.com/office/drawing/2014/chart" uri="{C3380CC4-5D6E-409C-BE32-E72D297353CC}">
              <c16:uniqueId val="{00000000-1540-4B6D-A14F-817B5EDD63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4478886341738929"/>
          <c:y val="0.88293923785842554"/>
          <c:w val="0.50893185820126918"/>
          <c:h val="0.102023168156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299859</xdr:colOff>
      <xdr:row>3</xdr:row>
      <xdr:rowOff>31571</xdr:rowOff>
    </xdr:from>
    <xdr:to>
      <xdr:col>2</xdr:col>
      <xdr:colOff>518049</xdr:colOff>
      <xdr:row>8</xdr:row>
      <xdr:rowOff>28222</xdr:rowOff>
    </xdr:to>
    <xdr:grpSp>
      <xdr:nvGrpSpPr>
        <xdr:cNvPr id="28" name="Group 27">
          <a:extLst>
            <a:ext uri="{FF2B5EF4-FFF2-40B4-BE49-F238E27FC236}">
              <a16:creationId xmlns:a16="http://schemas.microsoft.com/office/drawing/2014/main" id="{E247EB66-EED0-13F2-D0F4-7B3FF0704A83}"/>
            </a:ext>
          </a:extLst>
        </xdr:cNvPr>
        <xdr:cNvGrpSpPr/>
      </xdr:nvGrpSpPr>
      <xdr:grpSpPr>
        <a:xfrm>
          <a:off x="1820329" y="581904"/>
          <a:ext cx="1656991" cy="913874"/>
          <a:chOff x="1344613" y="560737"/>
          <a:chExt cx="2169054" cy="913874"/>
        </a:xfrm>
      </xdr:grpSpPr>
      <xdr:sp macro="" textlink="">
        <xdr:nvSpPr>
          <xdr:cNvPr id="5" name="Rectangle: Rounded Corners 4">
            <a:extLst>
              <a:ext uri="{FF2B5EF4-FFF2-40B4-BE49-F238E27FC236}">
                <a16:creationId xmlns:a16="http://schemas.microsoft.com/office/drawing/2014/main" id="{C0A714E7-2817-4B4D-A0A7-62EA3E513650}"/>
              </a:ext>
            </a:extLst>
          </xdr:cNvPr>
          <xdr:cNvSpPr/>
        </xdr:nvSpPr>
        <xdr:spPr>
          <a:xfrm>
            <a:off x="1344613" y="560737"/>
            <a:ext cx="2169054" cy="913874"/>
          </a:xfrm>
          <a:prstGeom prst="roundRect">
            <a:avLst>
              <a:gd name="adj" fmla="val 7537"/>
            </a:avLst>
          </a:prstGeom>
          <a:solidFill>
            <a:schemeClr val="bg1"/>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Time Series of Sale Amount'!B20">
        <xdr:nvSpPr>
          <xdr:cNvPr id="9" name="TextBox 8">
            <a:extLst>
              <a:ext uri="{FF2B5EF4-FFF2-40B4-BE49-F238E27FC236}">
                <a16:creationId xmlns:a16="http://schemas.microsoft.com/office/drawing/2014/main" id="{65030136-C3ED-A536-1B86-EA26E0AC916C}"/>
              </a:ext>
            </a:extLst>
          </xdr:cNvPr>
          <xdr:cNvSpPr txBox="1"/>
        </xdr:nvSpPr>
        <xdr:spPr>
          <a:xfrm>
            <a:off x="1378526" y="966605"/>
            <a:ext cx="2102556" cy="40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594A68-0AC5-46CB-B0DB-99A46B4F2B99}" type="TxLink">
              <a:rPr lang="en-US" sz="1600" b="1" i="0" u="none" strike="noStrike">
                <a:solidFill>
                  <a:srgbClr val="000000"/>
                </a:solidFill>
                <a:effectLst/>
                <a:latin typeface="Aptos Narrow"/>
                <a:ea typeface="+mn-ea"/>
                <a:cs typeface="+mn-cs"/>
              </a:rPr>
              <a:pPr algn="ctr"/>
              <a:t> $130,465,000 </a:t>
            </a:fld>
            <a:endParaRPr lang="en-GB" sz="1600" b="1">
              <a:latin typeface="+mj-lt"/>
              <a:cs typeface="Arial" panose="020B0604020202020204" pitchFamily="34" charset="0"/>
            </a:endParaRPr>
          </a:p>
        </xdr:txBody>
      </xdr:sp>
      <xdr:sp macro="" textlink="">
        <xdr:nvSpPr>
          <xdr:cNvPr id="15" name="TextBox 14">
            <a:extLst>
              <a:ext uri="{FF2B5EF4-FFF2-40B4-BE49-F238E27FC236}">
                <a16:creationId xmlns:a16="http://schemas.microsoft.com/office/drawing/2014/main" id="{85882A9A-8EDC-4168-9686-1DAD760ED1E0}"/>
              </a:ext>
            </a:extLst>
          </xdr:cNvPr>
          <xdr:cNvSpPr txBox="1"/>
        </xdr:nvSpPr>
        <xdr:spPr>
          <a:xfrm>
            <a:off x="1408290" y="688629"/>
            <a:ext cx="2041878" cy="249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latin typeface="+mj-lt"/>
                <a:cs typeface="Arial" panose="020B0604020202020204" pitchFamily="34" charset="0"/>
              </a:rPr>
              <a:t>Total Sales</a:t>
            </a:r>
            <a:r>
              <a:rPr lang="en-GB" sz="1200" baseline="0">
                <a:latin typeface="+mj-lt"/>
                <a:cs typeface="Arial" panose="020B0604020202020204" pitchFamily="34" charset="0"/>
              </a:rPr>
              <a:t> Amount</a:t>
            </a:r>
            <a:endParaRPr lang="en-GB" sz="1200">
              <a:latin typeface="+mj-lt"/>
              <a:cs typeface="Arial" panose="020B0604020202020204" pitchFamily="34" charset="0"/>
            </a:endParaRPr>
          </a:p>
        </xdr:txBody>
      </xdr:sp>
    </xdr:grpSp>
    <xdr:clientData/>
  </xdr:twoCellAnchor>
  <xdr:twoCellAnchor>
    <xdr:from>
      <xdr:col>1</xdr:col>
      <xdr:colOff>296333</xdr:colOff>
      <xdr:row>8</xdr:row>
      <xdr:rowOff>172683</xdr:rowOff>
    </xdr:from>
    <xdr:to>
      <xdr:col>2</xdr:col>
      <xdr:colOff>529167</xdr:colOff>
      <xdr:row>14</xdr:row>
      <xdr:rowOff>5467</xdr:rowOff>
    </xdr:to>
    <xdr:grpSp>
      <xdr:nvGrpSpPr>
        <xdr:cNvPr id="29" name="Group 28">
          <a:extLst>
            <a:ext uri="{FF2B5EF4-FFF2-40B4-BE49-F238E27FC236}">
              <a16:creationId xmlns:a16="http://schemas.microsoft.com/office/drawing/2014/main" id="{0F43178F-1838-EAAD-8BB5-46B95430575D}"/>
            </a:ext>
          </a:extLst>
        </xdr:cNvPr>
        <xdr:cNvGrpSpPr/>
      </xdr:nvGrpSpPr>
      <xdr:grpSpPr>
        <a:xfrm>
          <a:off x="1813277" y="1640239"/>
          <a:ext cx="1686279" cy="933450"/>
          <a:chOff x="1330502" y="1604959"/>
          <a:chExt cx="2190750" cy="933450"/>
        </a:xfrm>
      </xdr:grpSpPr>
      <xdr:pic>
        <xdr:nvPicPr>
          <xdr:cNvPr id="12" name="Graphic 11">
            <a:extLst>
              <a:ext uri="{FF2B5EF4-FFF2-40B4-BE49-F238E27FC236}">
                <a16:creationId xmlns:a16="http://schemas.microsoft.com/office/drawing/2014/main" id="{219CAA8C-67CE-A90C-7E6A-C6CB08C220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0502" y="1604959"/>
            <a:ext cx="2190750" cy="933450"/>
          </a:xfrm>
          <a:prstGeom prst="rect">
            <a:avLst/>
          </a:prstGeom>
        </xdr:spPr>
      </xdr:pic>
      <xdr:sp macro="" textlink="'Sale Unit by Car Model'!B12">
        <xdr:nvSpPr>
          <xdr:cNvPr id="18" name="TextBox 17">
            <a:extLst>
              <a:ext uri="{FF2B5EF4-FFF2-40B4-BE49-F238E27FC236}">
                <a16:creationId xmlns:a16="http://schemas.microsoft.com/office/drawing/2014/main" id="{19849E4D-8550-4534-B7ED-C1D96EC6B429}"/>
              </a:ext>
            </a:extLst>
          </xdr:cNvPr>
          <xdr:cNvSpPr txBox="1"/>
        </xdr:nvSpPr>
        <xdr:spPr>
          <a:xfrm>
            <a:off x="1408804" y="2032001"/>
            <a:ext cx="2036059" cy="3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CA0F54-8CED-4117-9572-EE89B84CD608}" type="TxLink">
              <a:rPr lang="en-US" sz="1900" b="1" i="0" u="none" strike="noStrike">
                <a:solidFill>
                  <a:srgbClr val="000000"/>
                </a:solidFill>
                <a:latin typeface="Aptos Narrow"/>
                <a:cs typeface="Arial" panose="020B0604020202020204" pitchFamily="34" charset="0"/>
              </a:rPr>
              <a:pPr algn="ctr"/>
              <a:t> 1,472 </a:t>
            </a:fld>
            <a:endParaRPr lang="en-GB" sz="1900" b="1">
              <a:latin typeface="+mj-lt"/>
              <a:cs typeface="Arial" panose="020B0604020202020204" pitchFamily="34" charset="0"/>
            </a:endParaRPr>
          </a:p>
        </xdr:txBody>
      </xdr:sp>
      <xdr:sp macro="" textlink="">
        <xdr:nvSpPr>
          <xdr:cNvPr id="19" name="TextBox 18">
            <a:extLst>
              <a:ext uri="{FF2B5EF4-FFF2-40B4-BE49-F238E27FC236}">
                <a16:creationId xmlns:a16="http://schemas.microsoft.com/office/drawing/2014/main" id="{616F3777-9198-40B7-8775-9B4B6BE1366A}"/>
              </a:ext>
            </a:extLst>
          </xdr:cNvPr>
          <xdr:cNvSpPr txBox="1"/>
        </xdr:nvSpPr>
        <xdr:spPr>
          <a:xfrm>
            <a:off x="1406012" y="1760184"/>
            <a:ext cx="2041876" cy="249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latin typeface="+mj-lt"/>
                <a:cs typeface="Arial" panose="020B0604020202020204" pitchFamily="34" charset="0"/>
              </a:rPr>
              <a:t>Total </a:t>
            </a:r>
            <a:r>
              <a:rPr lang="en-GB" sz="1100" baseline="0">
                <a:solidFill>
                  <a:schemeClr val="dk1"/>
                </a:solidFill>
                <a:effectLst/>
                <a:latin typeface="+mn-lt"/>
                <a:ea typeface="+mn-ea"/>
                <a:cs typeface="+mn-cs"/>
              </a:rPr>
              <a:t>Unit Sales</a:t>
            </a:r>
            <a:endParaRPr lang="en-GB" sz="1200">
              <a:latin typeface="+mj-lt"/>
              <a:cs typeface="Arial" panose="020B0604020202020204" pitchFamily="34" charset="0"/>
            </a:endParaRPr>
          </a:p>
        </xdr:txBody>
      </xdr:sp>
    </xdr:grpSp>
    <xdr:clientData/>
  </xdr:twoCellAnchor>
  <xdr:twoCellAnchor>
    <xdr:from>
      <xdr:col>1</xdr:col>
      <xdr:colOff>296333</xdr:colOff>
      <xdr:row>14</xdr:row>
      <xdr:rowOff>134056</xdr:rowOff>
    </xdr:from>
    <xdr:to>
      <xdr:col>5</xdr:col>
      <xdr:colOff>493888</xdr:colOff>
      <xdr:row>27</xdr:row>
      <xdr:rowOff>155222</xdr:rowOff>
    </xdr:to>
    <xdr:grpSp>
      <xdr:nvGrpSpPr>
        <xdr:cNvPr id="27" name="Group 26">
          <a:extLst>
            <a:ext uri="{FF2B5EF4-FFF2-40B4-BE49-F238E27FC236}">
              <a16:creationId xmlns:a16="http://schemas.microsoft.com/office/drawing/2014/main" id="{E4CCA089-0A31-0DA8-B088-FC7EA8B38BC5}"/>
            </a:ext>
          </a:extLst>
        </xdr:cNvPr>
        <xdr:cNvGrpSpPr/>
      </xdr:nvGrpSpPr>
      <xdr:grpSpPr>
        <a:xfrm>
          <a:off x="1813277" y="2702278"/>
          <a:ext cx="5277555" cy="2405944"/>
          <a:chOff x="1344788" y="2657123"/>
          <a:chExt cx="5449712" cy="2500487"/>
        </a:xfrm>
      </xdr:grpSpPr>
      <xdr:sp macro="" textlink="">
        <xdr:nvSpPr>
          <xdr:cNvPr id="13" name="Rectangle: Rounded Corners 12">
            <a:extLst>
              <a:ext uri="{FF2B5EF4-FFF2-40B4-BE49-F238E27FC236}">
                <a16:creationId xmlns:a16="http://schemas.microsoft.com/office/drawing/2014/main" id="{DC04E154-819B-46CE-97D0-0FAA87323C89}"/>
              </a:ext>
            </a:extLst>
          </xdr:cNvPr>
          <xdr:cNvSpPr/>
        </xdr:nvSpPr>
        <xdr:spPr>
          <a:xfrm>
            <a:off x="1344788" y="2657123"/>
            <a:ext cx="5449712" cy="2500487"/>
          </a:xfrm>
          <a:prstGeom prst="roundRect">
            <a:avLst>
              <a:gd name="adj" fmla="val 5352"/>
            </a:avLst>
          </a:prstGeom>
          <a:solidFill>
            <a:schemeClr val="bg1"/>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3" name="Chart 22">
            <a:extLst>
              <a:ext uri="{FF2B5EF4-FFF2-40B4-BE49-F238E27FC236}">
                <a16:creationId xmlns:a16="http://schemas.microsoft.com/office/drawing/2014/main" id="{D8512436-3BDD-4684-962B-3CD7AD034B90}"/>
              </a:ext>
            </a:extLst>
          </xdr:cNvPr>
          <xdr:cNvGraphicFramePr>
            <a:graphicFrameLocks/>
          </xdr:cNvGraphicFramePr>
        </xdr:nvGraphicFramePr>
        <xdr:xfrm>
          <a:off x="1397009" y="2744609"/>
          <a:ext cx="5348109" cy="240594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603250</xdr:colOff>
      <xdr:row>14</xdr:row>
      <xdr:rowOff>127000</xdr:rowOff>
    </xdr:from>
    <xdr:to>
      <xdr:col>10</xdr:col>
      <xdr:colOff>306916</xdr:colOff>
      <xdr:row>27</xdr:row>
      <xdr:rowOff>155222</xdr:rowOff>
    </xdr:to>
    <xdr:grpSp>
      <xdr:nvGrpSpPr>
        <xdr:cNvPr id="42" name="Group 41">
          <a:extLst>
            <a:ext uri="{FF2B5EF4-FFF2-40B4-BE49-F238E27FC236}">
              <a16:creationId xmlns:a16="http://schemas.microsoft.com/office/drawing/2014/main" id="{DF8203F0-4661-5553-1177-5325A9DE3307}"/>
            </a:ext>
          </a:extLst>
        </xdr:cNvPr>
        <xdr:cNvGrpSpPr/>
      </xdr:nvGrpSpPr>
      <xdr:grpSpPr>
        <a:xfrm>
          <a:off x="7309556" y="2695222"/>
          <a:ext cx="5510387" cy="2413000"/>
          <a:chOff x="7641178" y="2666999"/>
          <a:chExt cx="5263442" cy="2490611"/>
        </a:xfrm>
      </xdr:grpSpPr>
      <xdr:sp macro="" textlink="">
        <xdr:nvSpPr>
          <xdr:cNvPr id="14" name="Rectangle: Rounded Corners 13">
            <a:extLst>
              <a:ext uri="{FF2B5EF4-FFF2-40B4-BE49-F238E27FC236}">
                <a16:creationId xmlns:a16="http://schemas.microsoft.com/office/drawing/2014/main" id="{2F0D2D5E-4FEA-4864-8E52-E5E7A905D702}"/>
              </a:ext>
            </a:extLst>
          </xdr:cNvPr>
          <xdr:cNvSpPr/>
        </xdr:nvSpPr>
        <xdr:spPr>
          <a:xfrm>
            <a:off x="7641178" y="2666999"/>
            <a:ext cx="5263442" cy="2490611"/>
          </a:xfrm>
          <a:prstGeom prst="roundRect">
            <a:avLst>
              <a:gd name="adj" fmla="val 4548"/>
            </a:avLst>
          </a:prstGeom>
          <a:solidFill>
            <a:schemeClr val="bg1"/>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1" name="Chart 30">
            <a:extLst>
              <a:ext uri="{FF2B5EF4-FFF2-40B4-BE49-F238E27FC236}">
                <a16:creationId xmlns:a16="http://schemas.microsoft.com/office/drawing/2014/main" id="{0FAFECE9-0555-4B9F-A25B-D3C3AED5DDC3}"/>
              </a:ext>
            </a:extLst>
          </xdr:cNvPr>
          <xdr:cNvGraphicFramePr>
            <a:graphicFrameLocks/>
          </xdr:cNvGraphicFramePr>
        </xdr:nvGraphicFramePr>
        <xdr:xfrm>
          <a:off x="7718778" y="2695254"/>
          <a:ext cx="5115278" cy="240616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606777</xdr:colOff>
      <xdr:row>3</xdr:row>
      <xdr:rowOff>28223</xdr:rowOff>
    </xdr:from>
    <xdr:to>
      <xdr:col>5</xdr:col>
      <xdr:colOff>264579</xdr:colOff>
      <xdr:row>14</xdr:row>
      <xdr:rowOff>0</xdr:rowOff>
    </xdr:to>
    <xdr:grpSp>
      <xdr:nvGrpSpPr>
        <xdr:cNvPr id="41" name="Group 40">
          <a:extLst>
            <a:ext uri="{FF2B5EF4-FFF2-40B4-BE49-F238E27FC236}">
              <a16:creationId xmlns:a16="http://schemas.microsoft.com/office/drawing/2014/main" id="{BF6BE197-9585-DCDB-9DC9-4FCB5EE21C6E}"/>
            </a:ext>
          </a:extLst>
        </xdr:cNvPr>
        <xdr:cNvGrpSpPr/>
      </xdr:nvGrpSpPr>
      <xdr:grpSpPr>
        <a:xfrm>
          <a:off x="3654776" y="578556"/>
          <a:ext cx="2977438" cy="1989666"/>
          <a:chOff x="9275231" y="561623"/>
          <a:chExt cx="3626555" cy="1975556"/>
        </a:xfrm>
      </xdr:grpSpPr>
      <xdr:sp macro="" textlink="">
        <xdr:nvSpPr>
          <xdr:cNvPr id="30" name="Rectangle: Rounded Corners 29">
            <a:extLst>
              <a:ext uri="{FF2B5EF4-FFF2-40B4-BE49-F238E27FC236}">
                <a16:creationId xmlns:a16="http://schemas.microsoft.com/office/drawing/2014/main" id="{22E978E3-8C45-4E4D-890D-DE6A860A3DF9}"/>
              </a:ext>
            </a:extLst>
          </xdr:cNvPr>
          <xdr:cNvSpPr/>
        </xdr:nvSpPr>
        <xdr:spPr>
          <a:xfrm>
            <a:off x="9275231" y="561623"/>
            <a:ext cx="3626555" cy="1975556"/>
          </a:xfrm>
          <a:prstGeom prst="roundRect">
            <a:avLst>
              <a:gd name="adj" fmla="val 3095"/>
            </a:avLst>
          </a:prstGeom>
          <a:solidFill>
            <a:schemeClr val="bg1"/>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6" name="Chart 35">
            <a:extLst>
              <a:ext uri="{FF2B5EF4-FFF2-40B4-BE49-F238E27FC236}">
                <a16:creationId xmlns:a16="http://schemas.microsoft.com/office/drawing/2014/main" id="{7D342F2B-0ED3-47AE-9CA2-774655C522EC}"/>
              </a:ext>
            </a:extLst>
          </xdr:cNvPr>
          <xdr:cNvGraphicFramePr>
            <a:graphicFrameLocks/>
          </xdr:cNvGraphicFramePr>
        </xdr:nvGraphicFramePr>
        <xdr:xfrm>
          <a:off x="9320389" y="606779"/>
          <a:ext cx="3541889" cy="189794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5</xdr:col>
      <xdr:colOff>367019</xdr:colOff>
      <xdr:row>3</xdr:row>
      <xdr:rowOff>28223</xdr:rowOff>
    </xdr:from>
    <xdr:to>
      <xdr:col>8</xdr:col>
      <xdr:colOff>18844</xdr:colOff>
      <xdr:row>13</xdr:row>
      <xdr:rowOff>168830</xdr:rowOff>
    </xdr:to>
    <xdr:sp macro="" textlink="">
      <xdr:nvSpPr>
        <xdr:cNvPr id="7" name="Rectangle: Rounded Corners 6">
          <a:extLst>
            <a:ext uri="{FF2B5EF4-FFF2-40B4-BE49-F238E27FC236}">
              <a16:creationId xmlns:a16="http://schemas.microsoft.com/office/drawing/2014/main" id="{7D8E74F2-81EB-433C-AA2C-C1AEF6703E68}"/>
            </a:ext>
          </a:extLst>
        </xdr:cNvPr>
        <xdr:cNvSpPr/>
      </xdr:nvSpPr>
      <xdr:spPr>
        <a:xfrm>
          <a:off x="6837094" y="578556"/>
          <a:ext cx="2965483" cy="1975052"/>
        </a:xfrm>
        <a:prstGeom prst="roundRect">
          <a:avLst>
            <a:gd name="adj" fmla="val 3095"/>
          </a:avLst>
        </a:prstGeom>
        <a:solidFill>
          <a:schemeClr val="bg1"/>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109361</xdr:colOff>
      <xdr:row>3</xdr:row>
      <xdr:rowOff>85469</xdr:rowOff>
    </xdr:from>
    <xdr:to>
      <xdr:col>8</xdr:col>
      <xdr:colOff>271639</xdr:colOff>
      <xdr:row>14</xdr:row>
      <xdr:rowOff>21167</xdr:rowOff>
    </xdr:to>
    <xdr:graphicFrame macro="">
      <xdr:nvGraphicFramePr>
        <xdr:cNvPr id="38" name="Chart 37">
          <a:extLst>
            <a:ext uri="{FF2B5EF4-FFF2-40B4-BE49-F238E27FC236}">
              <a16:creationId xmlns:a16="http://schemas.microsoft.com/office/drawing/2014/main" id="{BE3A25C2-69E1-4B57-96C6-FE78D0019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116416</xdr:colOff>
      <xdr:row>3</xdr:row>
      <xdr:rowOff>35278</xdr:rowOff>
    </xdr:from>
    <xdr:to>
      <xdr:col>10</xdr:col>
      <xdr:colOff>296332</xdr:colOff>
      <xdr:row>13</xdr:row>
      <xdr:rowOff>169333</xdr:rowOff>
    </xdr:to>
    <xdr:grpSp>
      <xdr:nvGrpSpPr>
        <xdr:cNvPr id="47" name="Group 46">
          <a:extLst>
            <a:ext uri="{FF2B5EF4-FFF2-40B4-BE49-F238E27FC236}">
              <a16:creationId xmlns:a16="http://schemas.microsoft.com/office/drawing/2014/main" id="{47908AD9-B56A-4B21-F576-F0A742FABE07}"/>
            </a:ext>
          </a:extLst>
        </xdr:cNvPr>
        <xdr:cNvGrpSpPr/>
      </xdr:nvGrpSpPr>
      <xdr:grpSpPr>
        <a:xfrm>
          <a:off x="9997721" y="585611"/>
          <a:ext cx="2801054" cy="1968500"/>
          <a:chOff x="13497278" y="819855"/>
          <a:chExt cx="2527301" cy="2013656"/>
        </a:xfrm>
      </xdr:grpSpPr>
      <xdr:sp macro="" textlink="">
        <xdr:nvSpPr>
          <xdr:cNvPr id="44" name="Rectangle: Rounded Corners 43">
            <a:extLst>
              <a:ext uri="{FF2B5EF4-FFF2-40B4-BE49-F238E27FC236}">
                <a16:creationId xmlns:a16="http://schemas.microsoft.com/office/drawing/2014/main" id="{589DC0E9-44A5-E9FC-75B2-54E3AE17535C}"/>
              </a:ext>
            </a:extLst>
          </xdr:cNvPr>
          <xdr:cNvSpPr/>
        </xdr:nvSpPr>
        <xdr:spPr>
          <a:xfrm>
            <a:off x="13497278" y="819855"/>
            <a:ext cx="2527301" cy="2013656"/>
          </a:xfrm>
          <a:prstGeom prst="roundRect">
            <a:avLst>
              <a:gd name="adj" fmla="val 3095"/>
            </a:avLst>
          </a:prstGeom>
          <a:solidFill>
            <a:schemeClr val="bg1"/>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6" name="Chart 45">
            <a:extLst>
              <a:ext uri="{FF2B5EF4-FFF2-40B4-BE49-F238E27FC236}">
                <a16:creationId xmlns:a16="http://schemas.microsoft.com/office/drawing/2014/main" id="{21A3754F-2BB5-4C34-8601-A6BC7B8EBCF1}"/>
              </a:ext>
            </a:extLst>
          </xdr:cNvPr>
          <xdr:cNvGraphicFramePr>
            <a:graphicFrameLocks/>
          </xdr:cNvGraphicFramePr>
        </xdr:nvGraphicFramePr>
        <xdr:xfrm>
          <a:off x="13511392" y="860777"/>
          <a:ext cx="2476501" cy="195439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0</xdr:col>
      <xdr:colOff>0</xdr:colOff>
      <xdr:row>0</xdr:row>
      <xdr:rowOff>7055</xdr:rowOff>
    </xdr:from>
    <xdr:to>
      <xdr:col>1</xdr:col>
      <xdr:colOff>208138</xdr:colOff>
      <xdr:row>28</xdr:row>
      <xdr:rowOff>119944</xdr:rowOff>
    </xdr:to>
    <xdr:sp macro="" textlink="">
      <xdr:nvSpPr>
        <xdr:cNvPr id="49" name="Rectangle 48">
          <a:extLst>
            <a:ext uri="{FF2B5EF4-FFF2-40B4-BE49-F238E27FC236}">
              <a16:creationId xmlns:a16="http://schemas.microsoft.com/office/drawing/2014/main" id="{1AA8827C-8EAF-065B-90EA-1661712AF8C1}"/>
            </a:ext>
          </a:extLst>
        </xdr:cNvPr>
        <xdr:cNvSpPr/>
      </xdr:nvSpPr>
      <xdr:spPr>
        <a:xfrm>
          <a:off x="0" y="7055"/>
          <a:ext cx="1636887" cy="5249333"/>
        </a:xfrm>
        <a:prstGeom prst="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278695</xdr:colOff>
      <xdr:row>1</xdr:row>
      <xdr:rowOff>63501</xdr:rowOff>
    </xdr:from>
    <xdr:to>
      <xdr:col>0</xdr:col>
      <xdr:colOff>571499</xdr:colOff>
      <xdr:row>5</xdr:row>
      <xdr:rowOff>87303</xdr:rowOff>
    </xdr:to>
    <xdr:pic>
      <xdr:nvPicPr>
        <xdr:cNvPr id="52" name="Picture 51">
          <a:extLst>
            <a:ext uri="{FF2B5EF4-FFF2-40B4-BE49-F238E27FC236}">
              <a16:creationId xmlns:a16="http://schemas.microsoft.com/office/drawing/2014/main" id="{796600B1-A0D4-44C2-BD59-C240A0524BC3}"/>
            </a:ext>
          </a:extLst>
        </xdr:cNvPr>
        <xdr:cNvPicPr>
          <a:picLocks noChangeAspect="1"/>
        </xdr:cNvPicPr>
      </xdr:nvPicPr>
      <xdr:blipFill>
        <a:blip xmlns:r="http://schemas.openxmlformats.org/officeDocument/2006/relationships" r:embed="rId8" cstate="print">
          <a:lum bright="70000" contrast="-70000"/>
          <a:extLst>
            <a:ext uri="{BEBA8EAE-BF5A-486C-A8C5-ECC9F3942E4B}">
              <a14:imgProps xmlns:a14="http://schemas.microsoft.com/office/drawing/2010/main">
                <a14:imgLayer r:embed="rId9">
                  <a14:imgEffect>
                    <a14:artisticPhotocopy/>
                  </a14:imgEffect>
                </a14:imgLayer>
              </a14:imgProps>
            </a:ext>
            <a:ext uri="{28A0092B-C50C-407E-A947-70E740481C1C}">
              <a14:useLocalDpi xmlns:a14="http://schemas.microsoft.com/office/drawing/2010/main" val="0"/>
            </a:ext>
          </a:extLst>
        </a:blip>
        <a:stretch>
          <a:fillRect/>
        </a:stretch>
      </xdr:blipFill>
      <xdr:spPr>
        <a:xfrm>
          <a:off x="557391" y="246945"/>
          <a:ext cx="585608" cy="757580"/>
        </a:xfrm>
        <a:prstGeom prst="rect">
          <a:avLst/>
        </a:prstGeom>
      </xdr:spPr>
    </xdr:pic>
    <xdr:clientData/>
  </xdr:twoCellAnchor>
  <xdr:twoCellAnchor>
    <xdr:from>
      <xdr:col>0</xdr:col>
      <xdr:colOff>63231</xdr:colOff>
      <xdr:row>6</xdr:row>
      <xdr:rowOff>91722</xdr:rowOff>
    </xdr:from>
    <xdr:to>
      <xdr:col>1</xdr:col>
      <xdr:colOff>155220</xdr:colOff>
      <xdr:row>27</xdr:row>
      <xdr:rowOff>169333</xdr:rowOff>
    </xdr:to>
    <xdr:grpSp>
      <xdr:nvGrpSpPr>
        <xdr:cNvPr id="55" name="Group 54">
          <a:extLst>
            <a:ext uri="{FF2B5EF4-FFF2-40B4-BE49-F238E27FC236}">
              <a16:creationId xmlns:a16="http://schemas.microsoft.com/office/drawing/2014/main" id="{BB747D76-AA38-6974-72C7-3579D409914E}"/>
            </a:ext>
          </a:extLst>
        </xdr:cNvPr>
        <xdr:cNvGrpSpPr/>
      </xdr:nvGrpSpPr>
      <xdr:grpSpPr>
        <a:xfrm>
          <a:off x="126462" y="1192389"/>
          <a:ext cx="1404589" cy="3929944"/>
          <a:chOff x="295795" y="2463270"/>
          <a:chExt cx="1672701" cy="4592285"/>
        </a:xfrm>
      </xdr:grpSpPr>
      <xdr:grpSp>
        <xdr:nvGrpSpPr>
          <xdr:cNvPr id="53" name="Group 52">
            <a:extLst>
              <a:ext uri="{FF2B5EF4-FFF2-40B4-BE49-F238E27FC236}">
                <a16:creationId xmlns:a16="http://schemas.microsoft.com/office/drawing/2014/main" id="{04EFB6F7-12F3-9791-7E0F-7AA37A2C83CF}"/>
              </a:ext>
            </a:extLst>
          </xdr:cNvPr>
          <xdr:cNvGrpSpPr/>
        </xdr:nvGrpSpPr>
        <xdr:grpSpPr>
          <a:xfrm>
            <a:off x="295795" y="2463270"/>
            <a:ext cx="1672701" cy="4592285"/>
            <a:chOff x="84129" y="558271"/>
            <a:chExt cx="1672701" cy="4592285"/>
          </a:xfrm>
        </xdr:grpSpPr>
        <xdr:sp macro="" textlink="">
          <xdr:nvSpPr>
            <xdr:cNvPr id="4" name="Rectangle: Top Corners Rounded 3">
              <a:extLst>
                <a:ext uri="{FF2B5EF4-FFF2-40B4-BE49-F238E27FC236}">
                  <a16:creationId xmlns:a16="http://schemas.microsoft.com/office/drawing/2014/main" id="{E5A29226-BD93-4ABC-9F17-D1A25D80389E}"/>
                </a:ext>
              </a:extLst>
            </xdr:cNvPr>
            <xdr:cNvSpPr/>
          </xdr:nvSpPr>
          <xdr:spPr>
            <a:xfrm rot="5400000">
              <a:off x="-1375663" y="2018063"/>
              <a:ext cx="4592285" cy="1672701"/>
            </a:xfrm>
            <a:prstGeom prst="round2SameRect">
              <a:avLst>
                <a:gd name="adj1" fmla="val 6219"/>
                <a:gd name="adj2" fmla="val 0"/>
              </a:avLst>
            </a:prstGeom>
            <a:solidFill>
              <a:schemeClr val="bg1"/>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xmlns:a14="http://schemas.microsoft.com/office/drawing/2010/main">
          <mc:Choice Requires="a14">
            <xdr:graphicFrame macro="">
              <xdr:nvGraphicFramePr>
                <xdr:cNvPr id="25" name="Car_Model">
                  <a:extLst>
                    <a:ext uri="{FF2B5EF4-FFF2-40B4-BE49-F238E27FC236}">
                      <a16:creationId xmlns:a16="http://schemas.microsoft.com/office/drawing/2014/main" id="{18616503-5F1C-9B41-A248-A98EE1472BE6}"/>
                    </a:ext>
                  </a:extLst>
                </xdr:cNvPr>
                <xdr:cNvGraphicFramePr/>
              </xdr:nvGraphicFramePr>
              <xdr:xfrm>
                <a:off x="151988" y="2188150"/>
                <a:ext cx="1546029" cy="1239267"/>
              </xdr:xfrm>
              <a:graphic>
                <a:graphicData uri="http://schemas.microsoft.com/office/drawing/2010/slicer">
                  <sle:slicer xmlns:sle="http://schemas.microsoft.com/office/drawing/2010/slicer" name="Car_Model"/>
                </a:graphicData>
              </a:graphic>
            </xdr:graphicFrame>
          </mc:Choice>
          <mc:Fallback xmlns="">
            <xdr:sp macro="" textlink="">
              <xdr:nvSpPr>
                <xdr:cNvPr id="0" name=""/>
                <xdr:cNvSpPr>
                  <a:spLocks noTextEdit="1"/>
                </xdr:cNvSpPr>
              </xdr:nvSpPr>
              <xdr:spPr>
                <a:xfrm>
                  <a:off x="183444" y="2587192"/>
                  <a:ext cx="1298221" cy="10605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5" name="Years (Date)">
                  <a:extLst>
                    <a:ext uri="{FF2B5EF4-FFF2-40B4-BE49-F238E27FC236}">
                      <a16:creationId xmlns:a16="http://schemas.microsoft.com/office/drawing/2014/main" id="{C958C4B2-39B5-8AA4-6A3C-7814872039BD}"/>
                    </a:ext>
                  </a:extLst>
                </xdr:cNvPr>
                <xdr:cNvGraphicFramePr/>
              </xdr:nvGraphicFramePr>
              <xdr:xfrm>
                <a:off x="158749" y="960560"/>
                <a:ext cx="1539269" cy="1048774"/>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89121" y="1536656"/>
                  <a:ext cx="1292544" cy="8975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7" name="Country">
                  <a:extLst>
                    <a:ext uri="{FF2B5EF4-FFF2-40B4-BE49-F238E27FC236}">
                      <a16:creationId xmlns:a16="http://schemas.microsoft.com/office/drawing/2014/main" id="{3E025CD3-0093-CD87-CAB5-E1AD93A57AE7}"/>
                    </a:ext>
                  </a:extLst>
                </xdr:cNvPr>
                <xdr:cNvGraphicFramePr/>
              </xdr:nvGraphicFramePr>
              <xdr:xfrm>
                <a:off x="151695" y="3625290"/>
                <a:ext cx="1525521" cy="1385107"/>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3198" y="3817055"/>
                  <a:ext cx="1281000" cy="11853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17" name="TextBox 16">
            <a:extLst>
              <a:ext uri="{FF2B5EF4-FFF2-40B4-BE49-F238E27FC236}">
                <a16:creationId xmlns:a16="http://schemas.microsoft.com/office/drawing/2014/main" id="{83ADB4D8-B94F-4A8F-853B-08DCA9A42DBA}"/>
              </a:ext>
            </a:extLst>
          </xdr:cNvPr>
          <xdr:cNvSpPr txBox="1"/>
        </xdr:nvSpPr>
        <xdr:spPr>
          <a:xfrm>
            <a:off x="589150" y="2521249"/>
            <a:ext cx="1108128" cy="24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0">
                <a:solidFill>
                  <a:sysClr val="windowText" lastClr="000000"/>
                </a:solidFill>
                <a:latin typeface="Daytona" panose="020B0604030500040204" pitchFamily="34" charset="0"/>
                <a:ea typeface="Cambria" panose="02040503050406030204" pitchFamily="18" charset="0"/>
                <a:cs typeface="Arial" panose="020B0604020202020204" pitchFamily="34" charset="0"/>
              </a:rPr>
              <a:t>SELECTORS</a:t>
            </a:r>
          </a:p>
        </xdr:txBody>
      </xdr:sp>
    </xdr:grpSp>
    <xdr:clientData/>
  </xdr:twoCellAnchor>
  <xdr:twoCellAnchor>
    <xdr:from>
      <xdr:col>1</xdr:col>
      <xdr:colOff>299861</xdr:colOff>
      <xdr:row>0</xdr:row>
      <xdr:rowOff>70559</xdr:rowOff>
    </xdr:from>
    <xdr:to>
      <xdr:col>10</xdr:col>
      <xdr:colOff>292805</xdr:colOff>
      <xdr:row>2</xdr:row>
      <xdr:rowOff>119067</xdr:rowOff>
    </xdr:to>
    <xdr:grpSp>
      <xdr:nvGrpSpPr>
        <xdr:cNvPr id="58" name="Group 57">
          <a:extLst>
            <a:ext uri="{FF2B5EF4-FFF2-40B4-BE49-F238E27FC236}">
              <a16:creationId xmlns:a16="http://schemas.microsoft.com/office/drawing/2014/main" id="{9EF1B1B0-2DD8-B49F-EC5D-0B2E9DFFF0C9}"/>
            </a:ext>
          </a:extLst>
        </xdr:cNvPr>
        <xdr:cNvGrpSpPr/>
      </xdr:nvGrpSpPr>
      <xdr:grpSpPr>
        <a:xfrm>
          <a:off x="1820333" y="70559"/>
          <a:ext cx="10971388" cy="415397"/>
          <a:chOff x="1728607" y="70559"/>
          <a:chExt cx="11097564" cy="415397"/>
        </a:xfrm>
      </xdr:grpSpPr>
      <xdr:sp macro="" textlink="">
        <xdr:nvSpPr>
          <xdr:cNvPr id="2" name="Rectangle: Rounded Corners 1">
            <a:extLst>
              <a:ext uri="{FF2B5EF4-FFF2-40B4-BE49-F238E27FC236}">
                <a16:creationId xmlns:a16="http://schemas.microsoft.com/office/drawing/2014/main" id="{19DD4BD7-E95C-2ABB-EF75-22076F6D36A4}"/>
              </a:ext>
            </a:extLst>
          </xdr:cNvPr>
          <xdr:cNvSpPr/>
        </xdr:nvSpPr>
        <xdr:spPr>
          <a:xfrm>
            <a:off x="1728607" y="70559"/>
            <a:ext cx="11097564" cy="415397"/>
          </a:xfrm>
          <a:prstGeom prst="roundRect">
            <a:avLst/>
          </a:prstGeom>
          <a:solidFill>
            <a:srgbClr val="C0000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7" name="TextBox 56">
            <a:extLst>
              <a:ext uri="{FF2B5EF4-FFF2-40B4-BE49-F238E27FC236}">
                <a16:creationId xmlns:a16="http://schemas.microsoft.com/office/drawing/2014/main" id="{E73D1681-8E11-360C-ECB9-7517FB851985}"/>
              </a:ext>
            </a:extLst>
          </xdr:cNvPr>
          <xdr:cNvSpPr txBox="1"/>
        </xdr:nvSpPr>
        <xdr:spPr>
          <a:xfrm>
            <a:off x="1799002" y="112885"/>
            <a:ext cx="10964334" cy="33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0">
                <a:solidFill>
                  <a:schemeClr val="bg1"/>
                </a:solidFill>
                <a:latin typeface="Daytona" panose="020F0502020204030204" pitchFamily="34" charset="0"/>
              </a:rPr>
              <a:t>TESLA SALES DASHBOARD</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4</xdr:row>
      <xdr:rowOff>69850</xdr:rowOff>
    </xdr:from>
    <xdr:to>
      <xdr:col>11</xdr:col>
      <xdr:colOff>342900</xdr:colOff>
      <xdr:row>19</xdr:row>
      <xdr:rowOff>50800</xdr:rowOff>
    </xdr:to>
    <xdr:graphicFrame macro="">
      <xdr:nvGraphicFramePr>
        <xdr:cNvPr id="2" name="Chart 1">
          <a:extLst>
            <a:ext uri="{FF2B5EF4-FFF2-40B4-BE49-F238E27FC236}">
              <a16:creationId xmlns:a16="http://schemas.microsoft.com/office/drawing/2014/main" id="{8FBF0C39-8C41-9400-6642-CC1BBAEDD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450850</xdr:colOff>
      <xdr:row>7</xdr:row>
      <xdr:rowOff>31750</xdr:rowOff>
    </xdr:from>
    <xdr:to>
      <xdr:col>10</xdr:col>
      <xdr:colOff>146050</xdr:colOff>
      <xdr:row>22</xdr:row>
      <xdr:rowOff>12700</xdr:rowOff>
    </xdr:to>
    <xdr:graphicFrame macro="">
      <xdr:nvGraphicFramePr>
        <xdr:cNvPr id="2" name="Chart 1">
          <a:extLst>
            <a:ext uri="{FF2B5EF4-FFF2-40B4-BE49-F238E27FC236}">
              <a16:creationId xmlns:a16="http://schemas.microsoft.com/office/drawing/2014/main" id="{AE681A4D-1833-3879-95DB-F6B28CE8D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xdr:colOff>
      <xdr:row>4</xdr:row>
      <xdr:rowOff>152400</xdr:rowOff>
    </xdr:from>
    <xdr:to>
      <xdr:col>12</xdr:col>
      <xdr:colOff>69850</xdr:colOff>
      <xdr:row>19</xdr:row>
      <xdr:rowOff>133350</xdr:rowOff>
    </xdr:to>
    <xdr:graphicFrame macro="">
      <xdr:nvGraphicFramePr>
        <xdr:cNvPr id="2" name="Chart 1">
          <a:extLst>
            <a:ext uri="{FF2B5EF4-FFF2-40B4-BE49-F238E27FC236}">
              <a16:creationId xmlns:a16="http://schemas.microsoft.com/office/drawing/2014/main" id="{10421510-00C6-0DA3-2B3D-B9B453EE7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50800</xdr:colOff>
      <xdr:row>4</xdr:row>
      <xdr:rowOff>114300</xdr:rowOff>
    </xdr:from>
    <xdr:to>
      <xdr:col>9</xdr:col>
      <xdr:colOff>571500</xdr:colOff>
      <xdr:row>21</xdr:row>
      <xdr:rowOff>95250</xdr:rowOff>
    </xdr:to>
    <xdr:graphicFrame macro="">
      <xdr:nvGraphicFramePr>
        <xdr:cNvPr id="2" name="Chart 1">
          <a:extLst>
            <a:ext uri="{FF2B5EF4-FFF2-40B4-BE49-F238E27FC236}">
              <a16:creationId xmlns:a16="http://schemas.microsoft.com/office/drawing/2014/main" id="{11346331-AC12-40CF-DFEF-A6DAF47FC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298450</xdr:colOff>
      <xdr:row>5</xdr:row>
      <xdr:rowOff>19050</xdr:rowOff>
    </xdr:from>
    <xdr:to>
      <xdr:col>9</xdr:col>
      <xdr:colOff>260350</xdr:colOff>
      <xdr:row>18</xdr:row>
      <xdr:rowOff>158750</xdr:rowOff>
    </xdr:to>
    <xdr:graphicFrame macro="">
      <xdr:nvGraphicFramePr>
        <xdr:cNvPr id="2" name="Chart 1">
          <a:extLst>
            <a:ext uri="{FF2B5EF4-FFF2-40B4-BE49-F238E27FC236}">
              <a16:creationId xmlns:a16="http://schemas.microsoft.com/office/drawing/2014/main" id="{88CBA40F-C611-C74B-1CD0-DCAF4BC60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ben amoah" refreshedDate="46003.545351736109" createdVersion="8" refreshedVersion="8" minRefreshableVersion="3" recordCount="1000" xr:uid="{14E2B648-342F-4E3D-835C-8785CB33EE2E}">
  <cacheSource type="worksheet">
    <worksheetSource name="Table1"/>
  </cacheSource>
  <cacheFields count="17">
    <cacheField name="Sale_ID" numFmtId="0">
      <sharedItems/>
    </cacheField>
    <cacheField name="Customer_ID" numFmtId="0">
      <sharedItems/>
    </cacheField>
    <cacheField name="Date" numFmtId="14">
      <sharedItems containsSemiMixedTypes="0" containsNonDate="0" containsDate="1" containsString="0" minDate="2023-04-29T00:00:00" maxDate="2025-04-28T00:00:00" count="563">
        <d v="2023-10-20T00:00:00"/>
        <d v="2024-03-27T00:00:00"/>
        <d v="2025-02-10T00:00:00"/>
        <d v="2025-03-25T00:00:00"/>
        <d v="2024-02-01T00:00:00"/>
        <d v="2024-09-02T00:00:00"/>
        <d v="2025-01-28T00:00:00"/>
        <d v="2024-12-25T00:00:00"/>
        <d v="2024-09-27T00:00:00"/>
        <d v="2023-09-27T00:00:00"/>
        <d v="2025-01-25T00:00:00"/>
        <d v="2025-01-24T00:00:00"/>
        <d v="2024-11-08T00:00:00"/>
        <d v="2024-03-03T00:00:00"/>
        <d v="2025-02-26T00:00:00"/>
        <d v="2023-09-24T00:00:00"/>
        <d v="2023-05-05T00:00:00"/>
        <d v="2023-09-23T00:00:00"/>
        <d v="2025-01-14T00:00:00"/>
        <d v="2024-10-20T00:00:00"/>
        <d v="2023-10-16T00:00:00"/>
        <d v="2024-01-02T00:00:00"/>
        <d v="2025-01-29T00:00:00"/>
        <d v="2024-04-12T00:00:00"/>
        <d v="2023-12-06T00:00:00"/>
        <d v="2023-12-08T00:00:00"/>
        <d v="2024-02-06T00:00:00"/>
        <d v="2024-06-29T00:00:00"/>
        <d v="2023-11-25T00:00:00"/>
        <d v="2024-06-10T00:00:00"/>
        <d v="2025-04-12T00:00:00"/>
        <d v="2024-01-01T00:00:00"/>
        <d v="2024-08-07T00:00:00"/>
        <d v="2024-05-03T00:00:00"/>
        <d v="2024-05-22T00:00:00"/>
        <d v="2025-01-23T00:00:00"/>
        <d v="2024-11-22T00:00:00"/>
        <d v="2024-12-18T00:00:00"/>
        <d v="2025-01-10T00:00:00"/>
        <d v="2024-02-13T00:00:00"/>
        <d v="2023-05-09T00:00:00"/>
        <d v="2023-11-26T00:00:00"/>
        <d v="2023-06-19T00:00:00"/>
        <d v="2024-09-06T00:00:00"/>
        <d v="2025-02-09T00:00:00"/>
        <d v="2023-08-08T00:00:00"/>
        <d v="2023-08-26T00:00:00"/>
        <d v="2024-08-02T00:00:00"/>
        <d v="2024-03-12T00:00:00"/>
        <d v="2024-08-30T00:00:00"/>
        <d v="2023-07-11T00:00:00"/>
        <d v="2025-03-20T00:00:00"/>
        <d v="2024-04-01T00:00:00"/>
        <d v="2023-06-11T00:00:00"/>
        <d v="2023-10-28T00:00:00"/>
        <d v="2023-11-07T00:00:00"/>
        <d v="2023-05-27T00:00:00"/>
        <d v="2024-01-23T00:00:00"/>
        <d v="2024-10-04T00:00:00"/>
        <d v="2024-09-23T00:00:00"/>
        <d v="2024-12-11T00:00:00"/>
        <d v="2023-09-30T00:00:00"/>
        <d v="2023-06-14T00:00:00"/>
        <d v="2025-01-13T00:00:00"/>
        <d v="2023-05-11T00:00:00"/>
        <d v="2024-03-28T00:00:00"/>
        <d v="2024-06-15T00:00:00"/>
        <d v="2025-03-18T00:00:00"/>
        <d v="2024-07-10T00:00:00"/>
        <d v="2023-06-01T00:00:00"/>
        <d v="2024-01-16T00:00:00"/>
        <d v="2023-12-21T00:00:00"/>
        <d v="2024-10-31T00:00:00"/>
        <d v="2024-01-20T00:00:00"/>
        <d v="2024-11-05T00:00:00"/>
        <d v="2024-05-10T00:00:00"/>
        <d v="2023-08-19T00:00:00"/>
        <d v="2025-04-02T00:00:00"/>
        <d v="2023-12-22T00:00:00"/>
        <d v="2023-08-13T00:00:00"/>
        <d v="2024-01-14T00:00:00"/>
        <d v="2025-02-04T00:00:00"/>
        <d v="2023-11-12T00:00:00"/>
        <d v="2023-11-27T00:00:00"/>
        <d v="2024-05-31T00:00:00"/>
        <d v="2024-03-11T00:00:00"/>
        <d v="2024-09-30T00:00:00"/>
        <d v="2023-12-30T00:00:00"/>
        <d v="2025-02-15T00:00:00"/>
        <d v="2023-11-13T00:00:00"/>
        <d v="2024-08-24T00:00:00"/>
        <d v="2023-09-07T00:00:00"/>
        <d v="2023-06-07T00:00:00"/>
        <d v="2025-02-11T00:00:00"/>
        <d v="2023-10-30T00:00:00"/>
        <d v="2024-07-24T00:00:00"/>
        <d v="2024-07-21T00:00:00"/>
        <d v="2025-02-22T00:00:00"/>
        <d v="2023-11-16T00:00:00"/>
        <d v="2025-04-22T00:00:00"/>
        <d v="2024-10-13T00:00:00"/>
        <d v="2025-01-30T00:00:00"/>
        <d v="2023-06-23T00:00:00"/>
        <d v="2024-10-06T00:00:00"/>
        <d v="2023-09-11T00:00:00"/>
        <d v="2024-03-19T00:00:00"/>
        <d v="2023-11-10T00:00:00"/>
        <d v="2024-04-09T00:00:00"/>
        <d v="2023-08-10T00:00:00"/>
        <d v="2024-07-14T00:00:00"/>
        <d v="2024-09-14T00:00:00"/>
        <d v="2024-10-23T00:00:00"/>
        <d v="2025-01-03T00:00:00"/>
        <d v="2023-09-09T00:00:00"/>
        <d v="2023-08-18T00:00:00"/>
        <d v="2025-04-08T00:00:00"/>
        <d v="2023-06-03T00:00:00"/>
        <d v="2024-09-19T00:00:00"/>
        <d v="2025-03-10T00:00:00"/>
        <d v="2024-08-17T00:00:00"/>
        <d v="2023-05-31T00:00:00"/>
        <d v="2024-10-08T00:00:00"/>
        <d v="2023-09-21T00:00:00"/>
        <d v="2024-05-18T00:00:00"/>
        <d v="2024-08-26T00:00:00"/>
        <d v="2023-09-01T00:00:00"/>
        <d v="2025-01-06T00:00:00"/>
        <d v="2024-06-01T00:00:00"/>
        <d v="2025-02-02T00:00:00"/>
        <d v="2024-02-08T00:00:00"/>
        <d v="2024-10-15T00:00:00"/>
        <d v="2024-01-07T00:00:00"/>
        <d v="2024-11-24T00:00:00"/>
        <d v="2024-04-25T00:00:00"/>
        <d v="2025-02-17T00:00:00"/>
        <d v="2024-06-03T00:00:00"/>
        <d v="2025-02-07T00:00:00"/>
        <d v="2024-04-20T00:00:00"/>
        <d v="2023-07-29T00:00:00"/>
        <d v="2024-02-21T00:00:00"/>
        <d v="2024-07-04T00:00:00"/>
        <d v="2025-04-06T00:00:00"/>
        <d v="2024-08-16T00:00:00"/>
        <d v="2023-05-04T00:00:00"/>
        <d v="2024-07-15T00:00:00"/>
        <d v="2024-12-14T00:00:00"/>
        <d v="2025-01-07T00:00:00"/>
        <d v="2024-09-18T00:00:00"/>
        <d v="2024-02-11T00:00:00"/>
        <d v="2025-01-16T00:00:00"/>
        <d v="2024-07-20T00:00:00"/>
        <d v="2023-07-30T00:00:00"/>
        <d v="2023-05-21T00:00:00"/>
        <d v="2023-12-03T00:00:00"/>
        <d v="2025-02-23T00:00:00"/>
        <d v="2025-02-21T00:00:00"/>
        <d v="2023-04-30T00:00:00"/>
        <d v="2023-12-24T00:00:00"/>
        <d v="2025-02-27T00:00:00"/>
        <d v="2025-03-22T00:00:00"/>
        <d v="2023-10-07T00:00:00"/>
        <d v="2023-04-29T00:00:00"/>
        <d v="2024-11-07T00:00:00"/>
        <d v="2024-07-22T00:00:00"/>
        <d v="2023-05-30T00:00:00"/>
        <d v="2023-09-28T00:00:00"/>
        <d v="2023-07-18T00:00:00"/>
        <d v="2024-05-06T00:00:00"/>
        <d v="2023-09-02T00:00:00"/>
        <d v="2023-09-08T00:00:00"/>
        <d v="2024-11-28T00:00:00"/>
        <d v="2024-04-29T00:00:00"/>
        <d v="2024-01-25T00:00:00"/>
        <d v="2023-12-09T00:00:00"/>
        <d v="2025-04-14T00:00:00"/>
        <d v="2024-03-06T00:00:00"/>
        <d v="2025-01-18T00:00:00"/>
        <d v="2024-11-17T00:00:00"/>
        <d v="2024-08-21T00:00:00"/>
        <d v="2025-01-20T00:00:00"/>
        <d v="2024-05-08T00:00:00"/>
        <d v="2023-12-05T00:00:00"/>
        <d v="2023-07-08T00:00:00"/>
        <d v="2024-06-17T00:00:00"/>
        <d v="2024-05-14T00:00:00"/>
        <d v="2023-06-09T00:00:00"/>
        <d v="2025-03-24T00:00:00"/>
        <d v="2023-06-13T00:00:00"/>
        <d v="2023-09-10T00:00:00"/>
        <d v="2024-07-17T00:00:00"/>
        <d v="2024-01-08T00:00:00"/>
        <d v="2025-03-27T00:00:00"/>
        <d v="2024-09-09T00:00:00"/>
        <d v="2023-07-15T00:00:00"/>
        <d v="2023-05-26T00:00:00"/>
        <d v="2024-06-04T00:00:00"/>
        <d v="2024-02-20T00:00:00"/>
        <d v="2024-10-25T00:00:00"/>
        <d v="2023-05-25T00:00:00"/>
        <d v="2024-09-04T00:00:00"/>
        <d v="2024-01-18T00:00:00"/>
        <d v="2023-05-07T00:00:00"/>
        <d v="2024-04-27T00:00:00"/>
        <d v="2024-09-03T00:00:00"/>
        <d v="2023-12-26T00:00:00"/>
        <d v="2024-08-31T00:00:00"/>
        <d v="2024-09-05T00:00:00"/>
        <d v="2024-04-30T00:00:00"/>
        <d v="2024-11-09T00:00:00"/>
        <d v="2024-04-14T00:00:00"/>
        <d v="2023-12-12T00:00:00"/>
        <d v="2024-11-27T00:00:00"/>
        <d v="2025-04-15T00:00:00"/>
        <d v="2023-05-19T00:00:00"/>
        <d v="2023-08-05T00:00:00"/>
        <d v="2024-03-22T00:00:00"/>
        <d v="2023-08-11T00:00:00"/>
        <d v="2024-01-04T00:00:00"/>
        <d v="2023-09-14T00:00:00"/>
        <d v="2024-04-26T00:00:00"/>
        <d v="2023-11-22T00:00:00"/>
        <d v="2024-10-02T00:00:00"/>
        <d v="2023-05-13T00:00:00"/>
        <d v="2024-01-24T00:00:00"/>
        <d v="2025-01-05T00:00:00"/>
        <d v="2024-06-23T00:00:00"/>
        <d v="2024-12-05T00:00:00"/>
        <d v="2025-01-27T00:00:00"/>
        <d v="2023-07-07T00:00:00"/>
        <d v="2023-07-17T00:00:00"/>
        <d v="2024-07-28T00:00:00"/>
        <d v="2024-11-30T00:00:00"/>
        <d v="2024-04-04T00:00:00"/>
        <d v="2023-11-28T00:00:00"/>
        <d v="2024-11-26T00:00:00"/>
        <d v="2023-05-23T00:00:00"/>
        <d v="2023-07-19T00:00:00"/>
        <d v="2025-03-17T00:00:00"/>
        <d v="2024-05-25T00:00:00"/>
        <d v="2024-01-09T00:00:00"/>
        <d v="2024-04-02T00:00:00"/>
        <d v="2024-09-17T00:00:00"/>
        <d v="2024-03-14T00:00:00"/>
        <d v="2024-08-13T00:00:00"/>
        <d v="2024-05-07T00:00:00"/>
        <d v="2025-02-14T00:00:00"/>
        <d v="2023-11-05T00:00:00"/>
        <d v="2024-03-30T00:00:00"/>
        <d v="2023-12-31T00:00:00"/>
        <d v="2023-12-28T00:00:00"/>
        <d v="2025-01-02T00:00:00"/>
        <d v="2024-12-19T00:00:00"/>
        <d v="2023-06-28T00:00:00"/>
        <d v="2024-06-19T00:00:00"/>
        <d v="2024-08-14T00:00:00"/>
        <d v="2023-11-08T00:00:00"/>
        <d v="2023-06-30T00:00:00"/>
        <d v="2024-05-26T00:00:00"/>
        <d v="2023-12-13T00:00:00"/>
        <d v="2023-09-15T00:00:00"/>
        <d v="2025-03-15T00:00:00"/>
        <d v="2023-07-24T00:00:00"/>
        <d v="2024-11-04T00:00:00"/>
        <d v="2024-08-23T00:00:00"/>
        <d v="2024-10-26T00:00:00"/>
        <d v="2024-03-09T00:00:00"/>
        <d v="2024-11-11T00:00:00"/>
        <d v="2025-02-18T00:00:00"/>
        <d v="2024-01-27T00:00:00"/>
        <d v="2024-06-25T00:00:00"/>
        <d v="2024-10-21T00:00:00"/>
        <d v="2024-09-22T00:00:00"/>
        <d v="2023-12-01T00:00:00"/>
        <d v="2023-06-17T00:00:00"/>
        <d v="2025-04-05T00:00:00"/>
        <d v="2024-07-23T00:00:00"/>
        <d v="2024-10-07T00:00:00"/>
        <d v="2024-10-22T00:00:00"/>
        <d v="2024-07-13T00:00:00"/>
        <d v="2024-12-26T00:00:00"/>
        <d v="2024-01-22T00:00:00"/>
        <d v="2024-02-19T00:00:00"/>
        <d v="2025-01-26T00:00:00"/>
        <d v="2024-06-20T00:00:00"/>
        <d v="2024-02-04T00:00:00"/>
        <d v="2024-02-15T00:00:00"/>
        <d v="2023-11-06T00:00:00"/>
        <d v="2024-12-10T00:00:00"/>
        <d v="2025-01-11T00:00:00"/>
        <d v="2025-04-13T00:00:00"/>
        <d v="2024-02-05T00:00:00"/>
        <d v="2024-12-30T00:00:00"/>
        <d v="2023-05-28T00:00:00"/>
        <d v="2024-04-28T00:00:00"/>
        <d v="2023-05-15T00:00:00"/>
        <d v="2025-02-13T00:00:00"/>
        <d v="2023-10-14T00:00:00"/>
        <d v="2023-08-03T00:00:00"/>
        <d v="2024-12-16T00:00:00"/>
        <d v="2023-12-11T00:00:00"/>
        <d v="2025-03-30T00:00:00"/>
        <d v="2024-10-10T00:00:00"/>
        <d v="2025-04-26T00:00:00"/>
        <d v="2024-11-25T00:00:00"/>
        <d v="2023-11-21T00:00:00"/>
        <d v="2023-12-29T00:00:00"/>
        <d v="2024-05-11T00:00:00"/>
        <d v="2025-01-01T00:00:00"/>
        <d v="2024-08-22T00:00:00"/>
        <d v="2023-11-04T00:00:00"/>
        <d v="2025-03-09T00:00:00"/>
        <d v="2024-10-17T00:00:00"/>
        <d v="2023-11-20T00:00:00"/>
        <d v="2024-11-19T00:00:00"/>
        <d v="2024-03-17T00:00:00"/>
        <d v="2024-04-22T00:00:00"/>
        <d v="2024-02-25T00:00:00"/>
        <d v="2023-12-02T00:00:00"/>
        <d v="2023-08-24T00:00:00"/>
        <d v="2023-11-18T00:00:00"/>
        <d v="2024-08-06T00:00:00"/>
        <d v="2024-02-16T00:00:00"/>
        <d v="2023-07-02T00:00:00"/>
        <d v="2023-08-07T00:00:00"/>
        <d v="2023-08-23T00:00:00"/>
        <d v="2025-01-12T00:00:00"/>
        <d v="2024-02-02T00:00:00"/>
        <d v="2023-08-28T00:00:00"/>
        <d v="2024-03-04T00:00:00"/>
        <d v="2025-01-15T00:00:00"/>
        <d v="2024-09-11T00:00:00"/>
        <d v="2023-10-18T00:00:00"/>
        <d v="2024-12-06T00:00:00"/>
        <d v="2023-10-21T00:00:00"/>
        <d v="2025-02-20T00:00:00"/>
        <d v="2024-10-28T00:00:00"/>
        <d v="2024-09-13T00:00:00"/>
        <d v="2024-03-05T00:00:00"/>
        <d v="2024-09-12T00:00:00"/>
        <d v="2025-04-18T00:00:00"/>
        <d v="2025-04-19T00:00:00"/>
        <d v="2023-10-10T00:00:00"/>
        <d v="2024-06-24T00:00:00"/>
        <d v="2025-04-17T00:00:00"/>
        <d v="2024-05-27T00:00:00"/>
        <d v="2025-04-20T00:00:00"/>
        <d v="2023-12-16T00:00:00"/>
        <d v="2023-10-02T00:00:00"/>
        <d v="2023-07-12T00:00:00"/>
        <d v="2023-07-04T00:00:00"/>
        <d v="2025-02-08T00:00:00"/>
        <d v="2024-11-12T00:00:00"/>
        <d v="2023-09-17T00:00:00"/>
        <d v="2024-07-07T00:00:00"/>
        <d v="2023-09-16T00:00:00"/>
        <d v="2024-10-18T00:00:00"/>
        <d v="2023-08-15T00:00:00"/>
        <d v="2024-03-15T00:00:00"/>
        <d v="2024-02-26T00:00:00"/>
        <d v="2024-04-06T00:00:00"/>
        <d v="2024-02-29T00:00:00"/>
        <d v="2023-05-12T00:00:00"/>
        <d v="2024-12-01T00:00:00"/>
        <d v="2024-12-04T00:00:00"/>
        <d v="2023-07-22T00:00:00"/>
        <d v="2024-08-09T00:00:00"/>
        <d v="2023-05-17T00:00:00"/>
        <d v="2023-12-27T00:00:00"/>
        <d v="2024-05-09T00:00:00"/>
        <d v="2024-09-25T00:00:00"/>
        <d v="2025-01-31T00:00:00"/>
        <d v="2023-10-11T00:00:00"/>
        <d v="2024-02-23T00:00:00"/>
        <d v="2024-08-25T00:00:00"/>
        <d v="2024-05-24T00:00:00"/>
        <d v="2024-01-13T00:00:00"/>
        <d v="2023-10-27T00:00:00"/>
        <d v="2023-11-09T00:00:00"/>
        <d v="2024-06-14T00:00:00"/>
        <d v="2023-05-02T00:00:00"/>
        <d v="2023-08-09T00:00:00"/>
        <d v="2024-02-14T00:00:00"/>
        <d v="2025-02-05T00:00:00"/>
        <d v="2024-05-29T00:00:00"/>
        <d v="2024-09-28T00:00:00"/>
        <d v="2024-06-08T00:00:00"/>
        <d v="2023-07-16T00:00:00"/>
        <d v="2024-01-21T00:00:00"/>
        <d v="2024-11-10T00:00:00"/>
        <d v="2025-03-11T00:00:00"/>
        <d v="2024-09-15T00:00:00"/>
        <d v="2024-11-14T00:00:00"/>
        <d v="2024-11-15T00:00:00"/>
        <d v="2024-06-09T00:00:00"/>
        <d v="2024-09-24T00:00:00"/>
        <d v="2023-06-25T00:00:00"/>
        <d v="2024-11-29T00:00:00"/>
        <d v="2023-09-22T00:00:00"/>
        <d v="2025-02-24T00:00:00"/>
        <d v="2023-07-14T00:00:00"/>
        <d v="2023-12-17T00:00:00"/>
        <d v="2023-10-23T00:00:00"/>
        <d v="2025-01-21T00:00:00"/>
        <d v="2024-06-07T00:00:00"/>
        <d v="2024-07-27T00:00:00"/>
        <d v="2025-03-29T00:00:00"/>
        <d v="2023-08-22T00:00:00"/>
        <d v="2023-12-14T00:00:00"/>
        <d v="2023-11-15T00:00:00"/>
        <d v="2024-08-29T00:00:00"/>
        <d v="2025-03-06T00:00:00"/>
        <d v="2025-03-16T00:00:00"/>
        <d v="2024-03-18T00:00:00"/>
        <d v="2024-06-06T00:00:00"/>
        <d v="2023-06-04T00:00:00"/>
        <d v="2024-05-28T00:00:00"/>
        <d v="2025-01-04T00:00:00"/>
        <d v="2023-06-18T00:00:00"/>
        <d v="2025-03-19T00:00:00"/>
        <d v="2024-03-16T00:00:00"/>
        <d v="2023-10-03T00:00:00"/>
        <d v="2024-12-17T00:00:00"/>
        <d v="2024-12-12T00:00:00"/>
        <d v="2025-03-13T00:00:00"/>
        <d v="2024-11-20T00:00:00"/>
        <d v="2023-06-02T00:00:00"/>
        <d v="2023-05-20T00:00:00"/>
        <d v="2024-10-03T00:00:00"/>
        <d v="2023-09-04T00:00:00"/>
        <d v="2023-06-27T00:00:00"/>
        <d v="2023-08-25T00:00:00"/>
        <d v="2024-11-03T00:00:00"/>
        <d v="2024-01-06T00:00:00"/>
        <d v="2024-09-20T00:00:00"/>
        <d v="2024-01-11T00:00:00"/>
        <d v="2023-06-21T00:00:00"/>
        <d v="2023-07-20T00:00:00"/>
        <d v="2025-03-31T00:00:00"/>
        <d v="2024-07-12T00:00:00"/>
        <d v="2023-10-26T00:00:00"/>
        <d v="2024-03-26T00:00:00"/>
        <d v="2024-04-07T00:00:00"/>
        <d v="2024-08-15T00:00:00"/>
        <d v="2023-06-08T00:00:00"/>
        <d v="2024-02-12T00:00:00"/>
        <d v="2023-11-01T00:00:00"/>
        <d v="2025-03-01T00:00:00"/>
        <d v="2024-10-01T00:00:00"/>
        <d v="2025-04-03T00:00:00"/>
        <d v="2024-07-09T00:00:00"/>
        <d v="2024-04-11T00:00:00"/>
        <d v="2023-09-03T00:00:00"/>
        <d v="2024-12-31T00:00:00"/>
        <d v="2024-06-11T00:00:00"/>
        <d v="2024-01-15T00:00:00"/>
        <d v="2024-09-16T00:00:00"/>
        <d v="2024-05-15T00:00:00"/>
        <d v="2024-05-20T00:00:00"/>
        <d v="2025-03-02T00:00:00"/>
        <d v="2024-01-28T00:00:00"/>
        <d v="2023-11-02T00:00:00"/>
        <d v="2024-10-05T00:00:00"/>
        <d v="2024-05-12T00:00:00"/>
        <d v="2023-08-30T00:00:00"/>
        <d v="2025-01-09T00:00:00"/>
        <d v="2023-07-26T00:00:00"/>
        <d v="2024-07-08T00:00:00"/>
        <d v="2024-05-21T00:00:00"/>
        <d v="2023-07-03T00:00:00"/>
        <d v="2024-11-06T00:00:00"/>
        <d v="2024-08-11T00:00:00"/>
        <d v="2024-04-05T00:00:00"/>
        <d v="2024-01-26T00:00:00"/>
        <d v="2025-04-07T00:00:00"/>
        <d v="2024-04-16T00:00:00"/>
        <d v="2024-06-26T00:00:00"/>
        <d v="2024-03-24T00:00:00"/>
        <d v="2024-03-02T00:00:00"/>
        <d v="2023-08-29T00:00:00"/>
        <d v="2024-07-26T00:00:00"/>
        <d v="2023-10-17T00:00:00"/>
        <d v="2024-02-18T00:00:00"/>
        <d v="2023-12-07T00:00:00"/>
        <d v="2023-09-25T00:00:00"/>
        <d v="2023-11-03T00:00:00"/>
        <d v="2024-06-22T00:00:00"/>
        <d v="2024-12-23T00:00:00"/>
        <d v="2024-01-10T00:00:00"/>
        <d v="2023-09-26T00:00:00"/>
        <d v="2025-04-04T00:00:00"/>
        <d v="2023-09-20T00:00:00"/>
        <d v="2023-09-13T00:00:00"/>
        <d v="2024-02-22T00:00:00"/>
        <d v="2023-08-04T00:00:00"/>
        <d v="2024-07-18T00:00:00"/>
        <d v="2023-11-29T00:00:00"/>
        <d v="2024-01-03T00:00:00"/>
        <d v="2025-04-11T00:00:00"/>
        <d v="2024-09-26T00:00:00"/>
        <d v="2023-12-19T00:00:00"/>
        <d v="2023-07-28T00:00:00"/>
        <d v="2024-11-16T00:00:00"/>
        <d v="2025-01-08T00:00:00"/>
        <d v="2023-10-06T00:00:00"/>
        <d v="2025-03-07T00:00:00"/>
        <d v="2023-06-05T00:00:00"/>
        <d v="2023-07-31T00:00:00"/>
        <d v="2023-08-21T00:00:00"/>
        <d v="2024-07-19T00:00:00"/>
        <d v="2023-10-01T00:00:00"/>
        <d v="2024-04-23T00:00:00"/>
        <d v="2024-06-16T00:00:00"/>
        <d v="2024-11-21T00:00:00"/>
        <d v="2023-09-18T00:00:00"/>
        <d v="2023-05-24T00:00:00"/>
        <d v="2024-08-28T00:00:00"/>
        <d v="2023-06-29T00:00:00"/>
        <d v="2024-10-27T00:00:00"/>
        <d v="2025-03-21T00:00:00"/>
        <d v="2023-09-06T00:00:00"/>
        <d v="2023-08-20T00:00:00"/>
        <d v="2023-12-10T00:00:00"/>
        <d v="2024-12-15T00:00:00"/>
        <d v="2023-10-09T00:00:00"/>
        <d v="2024-07-25T00:00:00"/>
        <d v="2024-10-29T00:00:00"/>
        <d v="2024-07-01T00:00:00"/>
        <d v="2025-02-19T00:00:00"/>
        <d v="2023-12-04T00:00:00"/>
        <d v="2024-10-16T00:00:00"/>
        <d v="2023-10-29T00:00:00"/>
        <d v="2024-08-03T00:00:00"/>
        <d v="2025-04-27T00:00:00"/>
        <d v="2024-04-18T00:00:00"/>
        <d v="2024-05-30T00:00:00"/>
        <d v="2024-12-29T00:00:00"/>
        <d v="2024-02-27T00:00:00"/>
        <d v="2023-11-11T00:00:00"/>
        <d v="2024-05-23T00:00:00"/>
        <d v="2024-12-21T00:00:00"/>
        <d v="2024-06-18T00:00:00"/>
        <d v="2025-04-23T00:00:00"/>
        <d v="2024-04-19T00:00:00"/>
        <d v="2024-12-02T00:00:00"/>
        <d v="2023-11-19T00:00:00"/>
        <d v="2024-07-02T00:00:00"/>
        <d v="2023-10-08T00:00:00"/>
        <d v="2023-11-14T00:00:00"/>
        <d v="2024-09-21T00:00:00"/>
        <d v="2025-04-16T00:00:00"/>
        <d v="2025-03-14T00:00:00"/>
        <d v="2023-07-05T00:00:00"/>
        <d v="2023-12-20T00:00:00"/>
        <d v="2023-07-21T00:00:00"/>
        <d v="2023-08-06T00:00:00"/>
        <d v="2025-03-08T00:00:00"/>
        <d v="2024-09-08T00:00:00"/>
        <d v="2024-05-13T00:00:00"/>
        <d v="2024-03-21T00:00:00"/>
        <d v="2024-01-29T00:00:00"/>
        <d v="2024-12-07T00:00:00"/>
        <d v="2024-07-05T00:00:00"/>
        <d v="2024-06-21T00:00:00"/>
      </sharedItems>
      <fieldGroup par="16"/>
    </cacheField>
    <cacheField name="Car_Model" numFmtId="0">
      <sharedItems count="4">
        <s v="Model X"/>
        <s v="Model S"/>
        <s v="Cybertruck"/>
        <s v="Model 3"/>
      </sharedItems>
    </cacheField>
    <cacheField name="Region" numFmtId="0">
      <sharedItems/>
    </cacheField>
    <cacheField name="Country" numFmtId="0">
      <sharedItems count="10">
        <s v="India"/>
        <s v="France"/>
        <s v="Germany"/>
        <s v="Canada"/>
        <s v="Brazil"/>
        <s v="USA"/>
        <s v="UK"/>
        <s v="Australia"/>
        <s v="China"/>
        <s v="Japan"/>
      </sharedItems>
    </cacheField>
    <cacheField name="City" numFmtId="0">
      <sharedItems/>
    </cacheField>
    <cacheField name="Units_Sold" numFmtId="0">
      <sharedItems containsSemiMixedTypes="0" containsString="0" containsNumber="1" containsInteger="1" minValue="1" maxValue="5"/>
    </cacheField>
    <cacheField name="Sale_Amount_USD" numFmtId="0">
      <sharedItems containsSemiMixedTypes="0" containsString="0" containsNumber="1" containsInteger="1" minValue="45000" maxValue="700000"/>
    </cacheField>
    <cacheField name="Color" numFmtId="0">
      <sharedItems count="5">
        <s v="Red"/>
        <s v="White"/>
        <s v="Black"/>
        <s v="Blue"/>
        <s v="Silver"/>
      </sharedItems>
    </cacheField>
    <cacheField name="Battery_Type" numFmtId="0">
      <sharedItems/>
    </cacheField>
    <cacheField name="Delivery_Time_Days" numFmtId="0">
      <sharedItems containsSemiMixedTypes="0" containsString="0" containsNumber="1" containsInteger="1" minValue="5" maxValue="60"/>
    </cacheField>
    <cacheField name="Customer_Type" numFmtId="0">
      <sharedItems count="2">
        <s v="Individual"/>
        <s v="Corporate"/>
      </sharedItems>
    </cacheField>
    <cacheField name="Dealer_Name" numFmtId="0">
      <sharedItems/>
    </cacheField>
    <cacheField name="Months (Date)" numFmtId="0" databaseField="0">
      <fieldGroup base="2">
        <rangePr groupBy="months" startDate="2023-04-29T00:00:00" endDate="2025-04-28T00:00:00"/>
        <groupItems count="14">
          <s v="&lt;29/04/2023"/>
          <s v="Jan"/>
          <s v="Feb"/>
          <s v="Mar"/>
          <s v="Apr"/>
          <s v="May"/>
          <s v="Jun"/>
          <s v="Jul"/>
          <s v="Aug"/>
          <s v="Sep"/>
          <s v="Oct"/>
          <s v="Nov"/>
          <s v="Dec"/>
          <s v="&gt;28/04/2025"/>
        </groupItems>
      </fieldGroup>
    </cacheField>
    <cacheField name="Quarters (Date)" numFmtId="0" databaseField="0">
      <fieldGroup base="2">
        <rangePr groupBy="quarters" startDate="2023-04-29T00:00:00" endDate="2025-04-28T00:00:00"/>
        <groupItems count="6">
          <s v="&lt;29/04/2023"/>
          <s v="Qtr1"/>
          <s v="Qtr2"/>
          <s v="Qtr3"/>
          <s v="Qtr4"/>
          <s v="&gt;28/04/2025"/>
        </groupItems>
      </fieldGroup>
    </cacheField>
    <cacheField name="Years (Date)" numFmtId="0" databaseField="0">
      <fieldGroup base="2">
        <rangePr groupBy="years" startDate="2023-04-29T00:00:00" endDate="2025-04-28T00:00:00"/>
        <groupItems count="5">
          <s v="&lt;29/04/2023"/>
          <s v="2023"/>
          <s v="2024"/>
          <s v="2025"/>
          <s v="&gt;28/04/2025"/>
        </groupItems>
      </fieldGroup>
    </cacheField>
  </cacheFields>
  <extLst>
    <ext xmlns:x14="http://schemas.microsoft.com/office/spreadsheetml/2009/9/main" uri="{725AE2AE-9491-48be-B2B4-4EB974FC3084}">
      <x14:pivotCacheDefinition pivotCacheId="1474401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0001"/>
    <s v="CUST0001"/>
    <x v="0"/>
    <x v="0"/>
    <s v="Asia"/>
    <x v="0"/>
    <s v="Chennai"/>
    <n v="1"/>
    <n v="120000"/>
    <x v="0"/>
    <s v="Long Range"/>
    <n v="46"/>
    <x v="0"/>
    <s v="Brown, Olson and Dougherty Tesla"/>
  </r>
  <r>
    <s v="S0002"/>
    <s v="CUST0002"/>
    <x v="1"/>
    <x v="0"/>
    <s v="Asia"/>
    <x v="1"/>
    <s v="Toulouse"/>
    <n v="1"/>
    <n v="100000"/>
    <x v="1"/>
    <s v="Standard Range"/>
    <n v="49"/>
    <x v="1"/>
    <s v="Avery, Wood and Vazquez Tesla"/>
  </r>
  <r>
    <s v="S0003"/>
    <s v="CUST0003"/>
    <x v="2"/>
    <x v="0"/>
    <s v="North America"/>
    <x v="1"/>
    <s v="Paris"/>
    <n v="1"/>
    <n v="120000"/>
    <x v="1"/>
    <s v="Long Range"/>
    <n v="54"/>
    <x v="0"/>
    <s v="Andersen, Russell and Short Tesla"/>
  </r>
  <r>
    <s v="S0004"/>
    <s v="CUST0004"/>
    <x v="3"/>
    <x v="0"/>
    <s v="North America"/>
    <x v="2"/>
    <s v="Berlin"/>
    <n v="2"/>
    <n v="280000"/>
    <x v="0"/>
    <s v="Performance"/>
    <n v="20"/>
    <x v="0"/>
    <s v="Thomas, Smith and Martin Tesla"/>
  </r>
  <r>
    <s v="S0005"/>
    <s v="CUST0005"/>
    <x v="4"/>
    <x v="1"/>
    <s v="Asia"/>
    <x v="0"/>
    <s v="Chennai"/>
    <n v="3"/>
    <n v="324000"/>
    <x v="2"/>
    <s v="Long Range"/>
    <n v="19"/>
    <x v="1"/>
    <s v="Miller Ltd Tesla"/>
  </r>
  <r>
    <s v="S0006"/>
    <s v="CUST0006"/>
    <x v="5"/>
    <x v="1"/>
    <s v="North America"/>
    <x v="3"/>
    <s v="Montreal"/>
    <n v="3"/>
    <n v="324000"/>
    <x v="1"/>
    <s v="Long Range"/>
    <n v="37"/>
    <x v="0"/>
    <s v="Hicks-Gray Tesla"/>
  </r>
  <r>
    <s v="S0007"/>
    <s v="CUST0007"/>
    <x v="6"/>
    <x v="1"/>
    <s v="Europe"/>
    <x v="4"/>
    <s v="BrasÃ­lia"/>
    <n v="5"/>
    <n v="450000"/>
    <x v="2"/>
    <s v="Standard Range"/>
    <n v="45"/>
    <x v="1"/>
    <s v="White-Smith Tesla"/>
  </r>
  <r>
    <s v="S0008"/>
    <s v="CUST0008"/>
    <x v="7"/>
    <x v="1"/>
    <s v="Europe"/>
    <x v="5"/>
    <s v="San Francisco"/>
    <n v="2"/>
    <n v="252000"/>
    <x v="0"/>
    <s v="Performance"/>
    <n v="34"/>
    <x v="0"/>
    <s v="Lozano Group Tesla"/>
  </r>
  <r>
    <s v="S0009"/>
    <s v="CUST0009"/>
    <x v="8"/>
    <x v="2"/>
    <s v="Europe"/>
    <x v="6"/>
    <s v="London"/>
    <n v="2"/>
    <n v="144000"/>
    <x v="2"/>
    <s v="Long Range"/>
    <n v="31"/>
    <x v="0"/>
    <s v="Tucker-Wright Tesla"/>
  </r>
  <r>
    <s v="S0010"/>
    <s v="CUST0010"/>
    <x v="9"/>
    <x v="3"/>
    <s v="Asia"/>
    <x v="3"/>
    <s v="Toronto"/>
    <n v="3"/>
    <n v="162000"/>
    <x v="2"/>
    <s v="Long Range"/>
    <n v="18"/>
    <x v="1"/>
    <s v="Lawson, Thompson and Wilson Tesla"/>
  </r>
  <r>
    <s v="S0011"/>
    <s v="CUST0011"/>
    <x v="10"/>
    <x v="3"/>
    <s v="North America"/>
    <x v="7"/>
    <s v="Sydney"/>
    <n v="1"/>
    <n v="54000"/>
    <x v="1"/>
    <s v="Long Range"/>
    <n v="48"/>
    <x v="1"/>
    <s v="Olson-Thomas Tesla"/>
  </r>
  <r>
    <s v="S0012"/>
    <s v="CUST0012"/>
    <x v="11"/>
    <x v="2"/>
    <s v="Asia"/>
    <x v="2"/>
    <s v="Munich"/>
    <n v="5"/>
    <n v="360000"/>
    <x v="3"/>
    <s v="Long Range"/>
    <n v="9"/>
    <x v="0"/>
    <s v="Stewart Inc Tesla"/>
  </r>
  <r>
    <s v="S0013"/>
    <s v="CUST0013"/>
    <x v="12"/>
    <x v="3"/>
    <s v="Europe"/>
    <x v="1"/>
    <s v="Marseille"/>
    <n v="1"/>
    <n v="54000"/>
    <x v="1"/>
    <s v="Long Range"/>
    <n v="31"/>
    <x v="0"/>
    <s v="Chapman, Butler and Weber Tesla"/>
  </r>
  <r>
    <s v="S0014"/>
    <s v="CUST0014"/>
    <x v="13"/>
    <x v="3"/>
    <s v="Asia"/>
    <x v="7"/>
    <s v="Adelaide"/>
    <n v="4"/>
    <n v="180000"/>
    <x v="2"/>
    <s v="Standard Range"/>
    <n v="51"/>
    <x v="1"/>
    <s v="Salinas Inc Tesla"/>
  </r>
  <r>
    <s v="S0015"/>
    <s v="CUST0015"/>
    <x v="14"/>
    <x v="1"/>
    <s v="North America"/>
    <x v="5"/>
    <s v="Houston"/>
    <n v="2"/>
    <n v="252000"/>
    <x v="1"/>
    <s v="Performance"/>
    <n v="36"/>
    <x v="0"/>
    <s v="Robertson-Young Tesla"/>
  </r>
  <r>
    <s v="S0016"/>
    <s v="CUST0016"/>
    <x v="15"/>
    <x v="0"/>
    <s v="Asia"/>
    <x v="5"/>
    <s v="Chicago"/>
    <n v="3"/>
    <n v="360000"/>
    <x v="1"/>
    <s v="Long Range"/>
    <n v="8"/>
    <x v="1"/>
    <s v="Hill and Sons Tesla"/>
  </r>
  <r>
    <s v="S0017"/>
    <s v="CUST0017"/>
    <x v="16"/>
    <x v="3"/>
    <s v="Europe"/>
    <x v="0"/>
    <s v="Mumbai"/>
    <n v="1"/>
    <n v="45000"/>
    <x v="2"/>
    <s v="Standard Range"/>
    <n v="27"/>
    <x v="0"/>
    <s v="Powell-Ashley Tesla"/>
  </r>
  <r>
    <s v="S0018"/>
    <s v="CUST0018"/>
    <x v="17"/>
    <x v="1"/>
    <s v="Europe"/>
    <x v="3"/>
    <s v="Calgary"/>
    <n v="5"/>
    <n v="450000"/>
    <x v="4"/>
    <s v="Standard Range"/>
    <n v="53"/>
    <x v="1"/>
    <s v="Watkins-Martin Tesla"/>
  </r>
  <r>
    <s v="S0019"/>
    <s v="CUST0019"/>
    <x v="18"/>
    <x v="3"/>
    <s v="Asia"/>
    <x v="6"/>
    <s v="Manchester"/>
    <n v="5"/>
    <n v="315000"/>
    <x v="2"/>
    <s v="Performance"/>
    <n v="37"/>
    <x v="0"/>
    <s v="Shaw and Sons Tesla"/>
  </r>
  <r>
    <s v="S0020"/>
    <s v="CUST0020"/>
    <x v="19"/>
    <x v="3"/>
    <s v="Europe"/>
    <x v="4"/>
    <s v="Salvador"/>
    <n v="5"/>
    <n v="270000"/>
    <x v="3"/>
    <s v="Long Range"/>
    <n v="54"/>
    <x v="0"/>
    <s v="Hawkins, Myers and Mitchell Tesla"/>
  </r>
  <r>
    <s v="S0021"/>
    <s v="CUST0021"/>
    <x v="20"/>
    <x v="1"/>
    <s v="North America"/>
    <x v="6"/>
    <s v="Liverpool"/>
    <n v="3"/>
    <n v="324000"/>
    <x v="0"/>
    <s v="Long Range"/>
    <n v="8"/>
    <x v="0"/>
    <s v="Huffman, Weiss and Morris Tesla"/>
  </r>
  <r>
    <s v="S0022"/>
    <s v="CUST0022"/>
    <x v="21"/>
    <x v="2"/>
    <s v="Asia"/>
    <x v="1"/>
    <s v="Nice"/>
    <n v="3"/>
    <n v="216000"/>
    <x v="3"/>
    <s v="Long Range"/>
    <n v="45"/>
    <x v="0"/>
    <s v="Miller, Carlson and Cooper Tesla"/>
  </r>
  <r>
    <s v="S0023"/>
    <s v="CUST0023"/>
    <x v="22"/>
    <x v="0"/>
    <s v="Asia"/>
    <x v="6"/>
    <s v="Leeds"/>
    <n v="4"/>
    <n v="480000"/>
    <x v="2"/>
    <s v="Long Range"/>
    <n v="31"/>
    <x v="1"/>
    <s v="Farley, Carpenter and Martinez Tesla"/>
  </r>
  <r>
    <s v="S0024"/>
    <s v="CUST0024"/>
    <x v="23"/>
    <x v="0"/>
    <s v="Asia"/>
    <x v="3"/>
    <s v="Vancouver"/>
    <n v="2"/>
    <n v="280000"/>
    <x v="3"/>
    <s v="Performance"/>
    <n v="49"/>
    <x v="0"/>
    <s v="Young-Brooks Tesla"/>
  </r>
  <r>
    <s v="S0025"/>
    <s v="CUST0025"/>
    <x v="24"/>
    <x v="1"/>
    <s v="Europe"/>
    <x v="7"/>
    <s v="Brisbane"/>
    <n v="4"/>
    <n v="504000"/>
    <x v="1"/>
    <s v="Performance"/>
    <n v="23"/>
    <x v="1"/>
    <s v="Vasquez-Richards Tesla"/>
  </r>
  <r>
    <s v="S0026"/>
    <s v="CUST0026"/>
    <x v="25"/>
    <x v="2"/>
    <s v="North America"/>
    <x v="2"/>
    <s v="Hamburg"/>
    <n v="4"/>
    <n v="240000"/>
    <x v="2"/>
    <s v="Standard Range"/>
    <n v="27"/>
    <x v="0"/>
    <s v="Henderson, Richmond and Williams Tesla"/>
  </r>
  <r>
    <s v="S0027"/>
    <s v="CUST0027"/>
    <x v="26"/>
    <x v="0"/>
    <s v="Asia"/>
    <x v="4"/>
    <s v="Fortaleza"/>
    <n v="1"/>
    <n v="100000"/>
    <x v="1"/>
    <s v="Standard Range"/>
    <n v="60"/>
    <x v="1"/>
    <s v="Newman LLC Tesla"/>
  </r>
  <r>
    <s v="S0028"/>
    <s v="CUST0028"/>
    <x v="27"/>
    <x v="1"/>
    <s v="Europe"/>
    <x v="3"/>
    <s v="Ottawa"/>
    <n v="3"/>
    <n v="270000"/>
    <x v="4"/>
    <s v="Standard Range"/>
    <n v="29"/>
    <x v="0"/>
    <s v="Livingston Inc Tesla"/>
  </r>
  <r>
    <s v="S0029"/>
    <s v="CUST0029"/>
    <x v="28"/>
    <x v="3"/>
    <s v="Asia"/>
    <x v="4"/>
    <s v="SÃ£o Paulo"/>
    <n v="4"/>
    <n v="216000"/>
    <x v="2"/>
    <s v="Long Range"/>
    <n v="49"/>
    <x v="1"/>
    <s v="Boone-Murphy Tesla"/>
  </r>
  <r>
    <s v="S0030"/>
    <s v="CUST0030"/>
    <x v="29"/>
    <x v="2"/>
    <s v="North America"/>
    <x v="5"/>
    <s v="New York"/>
    <n v="4"/>
    <n v="288000"/>
    <x v="0"/>
    <s v="Long Range"/>
    <n v="26"/>
    <x v="1"/>
    <s v="Hernandez, Hobbs and Wood Tesla"/>
  </r>
  <r>
    <s v="S0031"/>
    <s v="CUST0031"/>
    <x v="30"/>
    <x v="0"/>
    <s v="Asia"/>
    <x v="4"/>
    <s v="Salvador"/>
    <n v="4"/>
    <n v="400000"/>
    <x v="3"/>
    <s v="Standard Range"/>
    <n v="59"/>
    <x v="1"/>
    <s v="Wilson-Peters Tesla"/>
  </r>
  <r>
    <s v="S0032"/>
    <s v="CUST0032"/>
    <x v="31"/>
    <x v="2"/>
    <s v="North America"/>
    <x v="8"/>
    <s v="Guangzhou"/>
    <n v="5"/>
    <n v="300000"/>
    <x v="3"/>
    <s v="Standard Range"/>
    <n v="42"/>
    <x v="0"/>
    <s v="Peters, Harrison and Thompson Tesla"/>
  </r>
  <r>
    <s v="S0033"/>
    <s v="CUST0033"/>
    <x v="32"/>
    <x v="3"/>
    <s v="North America"/>
    <x v="7"/>
    <s v="Melbourne"/>
    <n v="3"/>
    <n v="135000"/>
    <x v="4"/>
    <s v="Standard Range"/>
    <n v="17"/>
    <x v="0"/>
    <s v="Collins, Green and Meyer Tesla"/>
  </r>
  <r>
    <s v="S0034"/>
    <s v="CUST0034"/>
    <x v="33"/>
    <x v="1"/>
    <s v="North America"/>
    <x v="4"/>
    <s v="Fortaleza"/>
    <n v="4"/>
    <n v="432000"/>
    <x v="4"/>
    <s v="Long Range"/>
    <n v="10"/>
    <x v="0"/>
    <s v="Mclean Group Tesla"/>
  </r>
  <r>
    <s v="S0035"/>
    <s v="CUST0035"/>
    <x v="34"/>
    <x v="0"/>
    <s v="Europe"/>
    <x v="4"/>
    <s v="Fortaleza"/>
    <n v="4"/>
    <n v="480000"/>
    <x v="4"/>
    <s v="Long Range"/>
    <n v="45"/>
    <x v="0"/>
    <s v="Rogers LLC Tesla"/>
  </r>
  <r>
    <s v="S0036"/>
    <s v="CUST0036"/>
    <x v="35"/>
    <x v="3"/>
    <s v="Europe"/>
    <x v="5"/>
    <s v="Houston"/>
    <n v="5"/>
    <n v="225000"/>
    <x v="0"/>
    <s v="Standard Range"/>
    <n v="55"/>
    <x v="1"/>
    <s v="Quinn-Fischer Tesla"/>
  </r>
  <r>
    <s v="S0037"/>
    <s v="CUST0037"/>
    <x v="36"/>
    <x v="1"/>
    <s v="Europe"/>
    <x v="0"/>
    <s v="Delhi"/>
    <n v="2"/>
    <n v="216000"/>
    <x v="3"/>
    <s v="Long Range"/>
    <n v="46"/>
    <x v="0"/>
    <s v="Rogers Group Tesla"/>
  </r>
  <r>
    <s v="S0038"/>
    <s v="CUST0038"/>
    <x v="37"/>
    <x v="1"/>
    <s v="North America"/>
    <x v="5"/>
    <s v="Houston"/>
    <n v="2"/>
    <n v="216000"/>
    <x v="0"/>
    <s v="Long Range"/>
    <n v="58"/>
    <x v="1"/>
    <s v="Jordan PLC Tesla"/>
  </r>
  <r>
    <s v="S0039"/>
    <s v="CUST0039"/>
    <x v="38"/>
    <x v="1"/>
    <s v="Europe"/>
    <x v="2"/>
    <s v="Cologne"/>
    <n v="2"/>
    <n v="180000"/>
    <x v="1"/>
    <s v="Standard Range"/>
    <n v="47"/>
    <x v="0"/>
    <s v="Johnson PLC Tesla"/>
  </r>
  <r>
    <s v="S0040"/>
    <s v="CUST0040"/>
    <x v="39"/>
    <x v="1"/>
    <s v="Asia"/>
    <x v="6"/>
    <s v="London"/>
    <n v="5"/>
    <n v="630000"/>
    <x v="2"/>
    <s v="Performance"/>
    <n v="47"/>
    <x v="0"/>
    <s v="Patterson-Rivera Tesla"/>
  </r>
  <r>
    <s v="S0041"/>
    <s v="CUST0041"/>
    <x v="40"/>
    <x v="3"/>
    <s v="Asia"/>
    <x v="0"/>
    <s v="Chennai"/>
    <n v="2"/>
    <n v="108000"/>
    <x v="3"/>
    <s v="Long Range"/>
    <n v="52"/>
    <x v="1"/>
    <s v="Lane, Porter and Wilcox Tesla"/>
  </r>
  <r>
    <s v="S0042"/>
    <s v="CUST0042"/>
    <x v="41"/>
    <x v="3"/>
    <s v="Europe"/>
    <x v="3"/>
    <s v="Montreal"/>
    <n v="1"/>
    <n v="45000"/>
    <x v="1"/>
    <s v="Standard Range"/>
    <n v="34"/>
    <x v="0"/>
    <s v="Estrada, Brown and Arnold Tesla"/>
  </r>
  <r>
    <s v="S0043"/>
    <s v="CUST0043"/>
    <x v="42"/>
    <x v="2"/>
    <s v="Asia"/>
    <x v="8"/>
    <s v="Chengdu"/>
    <n v="3"/>
    <n v="180000"/>
    <x v="3"/>
    <s v="Standard Range"/>
    <n v="30"/>
    <x v="0"/>
    <s v="Burnett-Calhoun Tesla"/>
  </r>
  <r>
    <s v="S0044"/>
    <s v="CUST0044"/>
    <x v="43"/>
    <x v="1"/>
    <s v="North America"/>
    <x v="5"/>
    <s v="San Francisco"/>
    <n v="4"/>
    <n v="432000"/>
    <x v="1"/>
    <s v="Long Range"/>
    <n v="14"/>
    <x v="0"/>
    <s v="Cummings-Moore Tesla"/>
  </r>
  <r>
    <s v="S0045"/>
    <s v="CUST0045"/>
    <x v="44"/>
    <x v="1"/>
    <s v="Europe"/>
    <x v="3"/>
    <s v="Calgary"/>
    <n v="3"/>
    <n v="378000"/>
    <x v="0"/>
    <s v="Performance"/>
    <n v="15"/>
    <x v="0"/>
    <s v="Simmons-Vargas Tesla"/>
  </r>
  <r>
    <s v="S0046"/>
    <s v="CUST0046"/>
    <x v="45"/>
    <x v="0"/>
    <s v="Europe"/>
    <x v="6"/>
    <s v="London"/>
    <n v="5"/>
    <n v="600000"/>
    <x v="3"/>
    <s v="Long Range"/>
    <n v="10"/>
    <x v="0"/>
    <s v="Hayes, Curtis and Morris Tesla"/>
  </r>
  <r>
    <s v="S0047"/>
    <s v="CUST0047"/>
    <x v="46"/>
    <x v="2"/>
    <s v="Europe"/>
    <x v="8"/>
    <s v="Beijing"/>
    <n v="2"/>
    <n v="168000"/>
    <x v="1"/>
    <s v="Performance"/>
    <n v="5"/>
    <x v="0"/>
    <s v="Shea, Espinoza and Roberts Tesla"/>
  </r>
  <r>
    <s v="S0048"/>
    <s v="CUST0048"/>
    <x v="47"/>
    <x v="0"/>
    <s v="Asia"/>
    <x v="1"/>
    <s v="Paris"/>
    <n v="4"/>
    <n v="400000"/>
    <x v="2"/>
    <s v="Standard Range"/>
    <n v="46"/>
    <x v="0"/>
    <s v="Medina-Miller Tesla"/>
  </r>
  <r>
    <s v="S0049"/>
    <s v="CUST0049"/>
    <x v="48"/>
    <x v="0"/>
    <s v="Europe"/>
    <x v="1"/>
    <s v="Lyon"/>
    <n v="3"/>
    <n v="300000"/>
    <x v="2"/>
    <s v="Standard Range"/>
    <n v="53"/>
    <x v="1"/>
    <s v="Arellano, Gomez and Fox Tesla"/>
  </r>
  <r>
    <s v="S0050"/>
    <s v="CUST0050"/>
    <x v="49"/>
    <x v="3"/>
    <s v="North America"/>
    <x v="3"/>
    <s v="Vancouver"/>
    <n v="1"/>
    <n v="63000"/>
    <x v="1"/>
    <s v="Performance"/>
    <n v="24"/>
    <x v="1"/>
    <s v="Crane, Hale and Davis Tesla"/>
  </r>
  <r>
    <s v="S0051"/>
    <s v="CUST0051"/>
    <x v="50"/>
    <x v="3"/>
    <s v="Europe"/>
    <x v="5"/>
    <s v="Chicago"/>
    <n v="5"/>
    <n v="315000"/>
    <x v="4"/>
    <s v="Performance"/>
    <n v="48"/>
    <x v="1"/>
    <s v="Smith, Dixon and Mcdonald Tesla"/>
  </r>
  <r>
    <s v="S0052"/>
    <s v="CUST0052"/>
    <x v="51"/>
    <x v="2"/>
    <s v="Asia"/>
    <x v="6"/>
    <s v="Manchester"/>
    <n v="4"/>
    <n v="288000"/>
    <x v="4"/>
    <s v="Long Range"/>
    <n v="12"/>
    <x v="0"/>
    <s v="Meadows-Barrett Tesla"/>
  </r>
  <r>
    <s v="S0053"/>
    <s v="CUST0053"/>
    <x v="52"/>
    <x v="1"/>
    <s v="Asia"/>
    <x v="7"/>
    <s v="Brisbane"/>
    <n v="1"/>
    <n v="108000"/>
    <x v="4"/>
    <s v="Long Range"/>
    <n v="21"/>
    <x v="1"/>
    <s v="Owens LLC Tesla"/>
  </r>
  <r>
    <s v="S0054"/>
    <s v="CUST0054"/>
    <x v="53"/>
    <x v="3"/>
    <s v="Asia"/>
    <x v="5"/>
    <s v="Chicago"/>
    <n v="1"/>
    <n v="45000"/>
    <x v="0"/>
    <s v="Standard Range"/>
    <n v="5"/>
    <x v="1"/>
    <s v="Bowers Group Tesla"/>
  </r>
  <r>
    <s v="S0055"/>
    <s v="CUST0055"/>
    <x v="54"/>
    <x v="2"/>
    <s v="North America"/>
    <x v="5"/>
    <s v="New York"/>
    <n v="2"/>
    <n v="120000"/>
    <x v="4"/>
    <s v="Standard Range"/>
    <n v="37"/>
    <x v="1"/>
    <s v="Dixon Inc Tesla"/>
  </r>
  <r>
    <s v="S0056"/>
    <s v="CUST0056"/>
    <x v="55"/>
    <x v="3"/>
    <s v="North America"/>
    <x v="3"/>
    <s v="Toronto"/>
    <n v="5"/>
    <n v="225000"/>
    <x v="0"/>
    <s v="Standard Range"/>
    <n v="45"/>
    <x v="0"/>
    <s v="Ball, Parker and Parrish Tesla"/>
  </r>
  <r>
    <s v="S0057"/>
    <s v="CUST0057"/>
    <x v="56"/>
    <x v="2"/>
    <s v="Europe"/>
    <x v="2"/>
    <s v="Berlin"/>
    <n v="1"/>
    <n v="84000"/>
    <x v="3"/>
    <s v="Performance"/>
    <n v="45"/>
    <x v="0"/>
    <s v="Friedman, Wright and Shields Tesla"/>
  </r>
  <r>
    <s v="S0058"/>
    <s v="CUST0058"/>
    <x v="57"/>
    <x v="3"/>
    <s v="Europe"/>
    <x v="2"/>
    <s v="Cologne"/>
    <n v="5"/>
    <n v="225000"/>
    <x v="4"/>
    <s v="Standard Range"/>
    <n v="33"/>
    <x v="0"/>
    <s v="Jones, Johnston and Barr Tesla"/>
  </r>
  <r>
    <s v="S0059"/>
    <s v="CUST0059"/>
    <x v="58"/>
    <x v="2"/>
    <s v="Asia"/>
    <x v="9"/>
    <s v="Sapporo"/>
    <n v="3"/>
    <n v="252000"/>
    <x v="0"/>
    <s v="Performance"/>
    <n v="34"/>
    <x v="1"/>
    <s v="Rivera, Jacobs and Harrington Tesla"/>
  </r>
  <r>
    <s v="S0060"/>
    <s v="CUST0060"/>
    <x v="59"/>
    <x v="0"/>
    <s v="North America"/>
    <x v="9"/>
    <s v="Yokohama"/>
    <n v="2"/>
    <n v="280000"/>
    <x v="4"/>
    <s v="Performance"/>
    <n v="16"/>
    <x v="1"/>
    <s v="Harvey, Wright and Juarez Tesla"/>
  </r>
  <r>
    <s v="S0061"/>
    <s v="CUST0061"/>
    <x v="60"/>
    <x v="1"/>
    <s v="Asia"/>
    <x v="8"/>
    <s v="Guangzhou"/>
    <n v="3"/>
    <n v="378000"/>
    <x v="2"/>
    <s v="Performance"/>
    <n v="50"/>
    <x v="0"/>
    <s v="Wright, Reid and Pitts Tesla"/>
  </r>
  <r>
    <s v="S0062"/>
    <s v="CUST0062"/>
    <x v="61"/>
    <x v="3"/>
    <s v="North America"/>
    <x v="6"/>
    <s v="Leeds"/>
    <n v="5"/>
    <n v="315000"/>
    <x v="0"/>
    <s v="Performance"/>
    <n v="33"/>
    <x v="1"/>
    <s v="Marshall Ltd Tesla"/>
  </r>
  <r>
    <s v="S0063"/>
    <s v="CUST0063"/>
    <x v="62"/>
    <x v="1"/>
    <s v="Asia"/>
    <x v="3"/>
    <s v="Ottawa"/>
    <n v="5"/>
    <n v="540000"/>
    <x v="4"/>
    <s v="Long Range"/>
    <n v="50"/>
    <x v="0"/>
    <s v="Green-Frederick Tesla"/>
  </r>
  <r>
    <s v="S0064"/>
    <s v="CUST0064"/>
    <x v="63"/>
    <x v="3"/>
    <s v="North America"/>
    <x v="6"/>
    <s v="Liverpool"/>
    <n v="3"/>
    <n v="162000"/>
    <x v="1"/>
    <s v="Long Range"/>
    <n v="39"/>
    <x v="0"/>
    <s v="Klein, Buchanan and Robertson Tesla"/>
  </r>
  <r>
    <s v="S0065"/>
    <s v="CUST0065"/>
    <x v="64"/>
    <x v="0"/>
    <s v="Europe"/>
    <x v="0"/>
    <s v="Mumbai"/>
    <n v="3"/>
    <n v="300000"/>
    <x v="1"/>
    <s v="Standard Range"/>
    <n v="22"/>
    <x v="0"/>
    <s v="Hernandez, Smith and Hayes Tesla"/>
  </r>
  <r>
    <s v="S0066"/>
    <s v="CUST0066"/>
    <x v="65"/>
    <x v="0"/>
    <s v="Asia"/>
    <x v="5"/>
    <s v="New York"/>
    <n v="4"/>
    <n v="560000"/>
    <x v="1"/>
    <s v="Performance"/>
    <n v="55"/>
    <x v="1"/>
    <s v="Baxter Group Tesla"/>
  </r>
  <r>
    <s v="S0067"/>
    <s v="CUST0067"/>
    <x v="66"/>
    <x v="2"/>
    <s v="Asia"/>
    <x v="0"/>
    <s v="Chennai"/>
    <n v="1"/>
    <n v="84000"/>
    <x v="0"/>
    <s v="Performance"/>
    <n v="53"/>
    <x v="1"/>
    <s v="Dunn Ltd Tesla"/>
  </r>
  <r>
    <s v="S0068"/>
    <s v="CUST0068"/>
    <x v="67"/>
    <x v="0"/>
    <s v="Europe"/>
    <x v="8"/>
    <s v="Shenzhen"/>
    <n v="3"/>
    <n v="420000"/>
    <x v="3"/>
    <s v="Performance"/>
    <n v="7"/>
    <x v="1"/>
    <s v="Stewart, Howard and Flores Tesla"/>
  </r>
  <r>
    <s v="S0069"/>
    <s v="CUST0069"/>
    <x v="68"/>
    <x v="1"/>
    <s v="Europe"/>
    <x v="9"/>
    <s v="Nagoya"/>
    <n v="3"/>
    <n v="270000"/>
    <x v="2"/>
    <s v="Standard Range"/>
    <n v="10"/>
    <x v="1"/>
    <s v="Randall Inc Tesla"/>
  </r>
  <r>
    <s v="S0070"/>
    <s v="CUST0070"/>
    <x v="69"/>
    <x v="0"/>
    <s v="Asia"/>
    <x v="5"/>
    <s v="Los Angeles"/>
    <n v="2"/>
    <n v="280000"/>
    <x v="3"/>
    <s v="Performance"/>
    <n v="57"/>
    <x v="1"/>
    <s v="Flores, Robinson and Mitchell Tesla"/>
  </r>
  <r>
    <s v="S0071"/>
    <s v="CUST0071"/>
    <x v="70"/>
    <x v="1"/>
    <s v="Europe"/>
    <x v="4"/>
    <s v="SÃ£o Paulo"/>
    <n v="4"/>
    <n v="432000"/>
    <x v="1"/>
    <s v="Long Range"/>
    <n v="9"/>
    <x v="1"/>
    <s v="Herrera, Moore and Herring Tesla"/>
  </r>
  <r>
    <s v="S0072"/>
    <s v="CUST0072"/>
    <x v="71"/>
    <x v="1"/>
    <s v="Europe"/>
    <x v="0"/>
    <s v="Bangalore"/>
    <n v="4"/>
    <n v="432000"/>
    <x v="4"/>
    <s v="Long Range"/>
    <n v="23"/>
    <x v="1"/>
    <s v="Garcia LLC Tesla"/>
  </r>
  <r>
    <s v="S0073"/>
    <s v="CUST0073"/>
    <x v="72"/>
    <x v="1"/>
    <s v="Asia"/>
    <x v="6"/>
    <s v="London"/>
    <n v="4"/>
    <n v="432000"/>
    <x v="4"/>
    <s v="Long Range"/>
    <n v="40"/>
    <x v="0"/>
    <s v="Morgan, Mahoney and James Tesla"/>
  </r>
  <r>
    <s v="S0074"/>
    <s v="CUST0074"/>
    <x v="73"/>
    <x v="0"/>
    <s v="Asia"/>
    <x v="5"/>
    <s v="Houston"/>
    <n v="5"/>
    <n v="500000"/>
    <x v="0"/>
    <s v="Standard Range"/>
    <n v="36"/>
    <x v="1"/>
    <s v="Snyder LLC Tesla"/>
  </r>
  <r>
    <s v="S0075"/>
    <s v="CUST0075"/>
    <x v="74"/>
    <x v="0"/>
    <s v="North America"/>
    <x v="9"/>
    <s v="Tokyo"/>
    <n v="2"/>
    <n v="240000"/>
    <x v="0"/>
    <s v="Long Range"/>
    <n v="49"/>
    <x v="0"/>
    <s v="Smith LLC Tesla"/>
  </r>
  <r>
    <s v="S0076"/>
    <s v="CUST0076"/>
    <x v="75"/>
    <x v="0"/>
    <s v="Asia"/>
    <x v="9"/>
    <s v="Yokohama"/>
    <n v="2"/>
    <n v="280000"/>
    <x v="1"/>
    <s v="Performance"/>
    <n v="31"/>
    <x v="1"/>
    <s v="Werner Inc Tesla"/>
  </r>
  <r>
    <s v="S0077"/>
    <s v="CUST0077"/>
    <x v="47"/>
    <x v="2"/>
    <s v="Europe"/>
    <x v="0"/>
    <s v="Mumbai"/>
    <n v="5"/>
    <n v="360000"/>
    <x v="1"/>
    <s v="Long Range"/>
    <n v="37"/>
    <x v="0"/>
    <s v="Robinson PLC Tesla"/>
  </r>
  <r>
    <s v="S0078"/>
    <s v="CUST0078"/>
    <x v="76"/>
    <x v="0"/>
    <s v="North America"/>
    <x v="5"/>
    <s v="Los Angeles"/>
    <n v="4"/>
    <n v="560000"/>
    <x v="1"/>
    <s v="Performance"/>
    <n v="33"/>
    <x v="0"/>
    <s v="Trevino, Estes and Johnson Tesla"/>
  </r>
  <r>
    <s v="S0079"/>
    <s v="CUST0079"/>
    <x v="77"/>
    <x v="0"/>
    <s v="Asia"/>
    <x v="9"/>
    <s v="Yokohama"/>
    <n v="1"/>
    <n v="100000"/>
    <x v="1"/>
    <s v="Standard Range"/>
    <n v="30"/>
    <x v="0"/>
    <s v="Kirby, Johnson and Chapman Tesla"/>
  </r>
  <r>
    <s v="S0080"/>
    <s v="CUST0080"/>
    <x v="78"/>
    <x v="0"/>
    <s v="North America"/>
    <x v="1"/>
    <s v="Nice"/>
    <n v="4"/>
    <n v="560000"/>
    <x v="0"/>
    <s v="Performance"/>
    <n v="32"/>
    <x v="1"/>
    <s v="Lewis and Sons Tesla"/>
  </r>
  <r>
    <s v="S0081"/>
    <s v="CUST0081"/>
    <x v="79"/>
    <x v="2"/>
    <s v="Asia"/>
    <x v="2"/>
    <s v="Hamburg"/>
    <n v="4"/>
    <n v="336000"/>
    <x v="1"/>
    <s v="Performance"/>
    <n v="54"/>
    <x v="1"/>
    <s v="Mcclain-Williams Tesla"/>
  </r>
  <r>
    <s v="S0082"/>
    <s v="CUST0082"/>
    <x v="80"/>
    <x v="3"/>
    <s v="North America"/>
    <x v="8"/>
    <s v="Chengdu"/>
    <n v="1"/>
    <n v="63000"/>
    <x v="2"/>
    <s v="Performance"/>
    <n v="31"/>
    <x v="0"/>
    <s v="Little, Hudson and Smith Tesla"/>
  </r>
  <r>
    <s v="S0083"/>
    <s v="CUST0083"/>
    <x v="81"/>
    <x v="2"/>
    <s v="Europe"/>
    <x v="4"/>
    <s v="Salvador"/>
    <n v="2"/>
    <n v="168000"/>
    <x v="3"/>
    <s v="Performance"/>
    <n v="58"/>
    <x v="0"/>
    <s v="Oneill PLC Tesla"/>
  </r>
  <r>
    <s v="S0084"/>
    <s v="CUST0084"/>
    <x v="82"/>
    <x v="3"/>
    <s v="North America"/>
    <x v="5"/>
    <s v="New York"/>
    <n v="4"/>
    <n v="252000"/>
    <x v="4"/>
    <s v="Performance"/>
    <n v="46"/>
    <x v="1"/>
    <s v="Curry Inc Tesla"/>
  </r>
  <r>
    <s v="S0085"/>
    <s v="CUST0085"/>
    <x v="83"/>
    <x v="0"/>
    <s v="Asia"/>
    <x v="5"/>
    <s v="New York"/>
    <n v="3"/>
    <n v="420000"/>
    <x v="4"/>
    <s v="Performance"/>
    <n v="57"/>
    <x v="1"/>
    <s v="Brown, Montgomery and Velasquez Tesla"/>
  </r>
  <r>
    <s v="S0086"/>
    <s v="CUST0086"/>
    <x v="84"/>
    <x v="3"/>
    <s v="Europe"/>
    <x v="3"/>
    <s v="Ottawa"/>
    <n v="1"/>
    <n v="63000"/>
    <x v="1"/>
    <s v="Performance"/>
    <n v="27"/>
    <x v="1"/>
    <s v="Crawford-Henderson Tesla"/>
  </r>
  <r>
    <s v="S0087"/>
    <s v="CUST0087"/>
    <x v="85"/>
    <x v="0"/>
    <s v="North America"/>
    <x v="3"/>
    <s v="Calgary"/>
    <n v="4"/>
    <n v="560000"/>
    <x v="0"/>
    <s v="Performance"/>
    <n v="56"/>
    <x v="1"/>
    <s v="Wolf LLC Tesla"/>
  </r>
  <r>
    <s v="S0088"/>
    <s v="CUST0088"/>
    <x v="86"/>
    <x v="3"/>
    <s v="Asia"/>
    <x v="5"/>
    <s v="Los Angeles"/>
    <n v="5"/>
    <n v="225000"/>
    <x v="2"/>
    <s v="Standard Range"/>
    <n v="40"/>
    <x v="1"/>
    <s v="Montes-Pugh Tesla"/>
  </r>
  <r>
    <s v="S0089"/>
    <s v="CUST0089"/>
    <x v="87"/>
    <x v="2"/>
    <s v="North America"/>
    <x v="3"/>
    <s v="Vancouver"/>
    <n v="4"/>
    <n v="336000"/>
    <x v="2"/>
    <s v="Performance"/>
    <n v="22"/>
    <x v="1"/>
    <s v="Lewis, Dyer and Robinson Tesla"/>
  </r>
  <r>
    <s v="S0090"/>
    <s v="CUST0090"/>
    <x v="88"/>
    <x v="2"/>
    <s v="Asia"/>
    <x v="3"/>
    <s v="Ottawa"/>
    <n v="1"/>
    <n v="84000"/>
    <x v="1"/>
    <s v="Performance"/>
    <n v="45"/>
    <x v="1"/>
    <s v="Smith-Santana Tesla"/>
  </r>
  <r>
    <s v="S0091"/>
    <s v="CUST0091"/>
    <x v="89"/>
    <x v="1"/>
    <s v="North America"/>
    <x v="4"/>
    <s v="Fortaleza"/>
    <n v="3"/>
    <n v="324000"/>
    <x v="2"/>
    <s v="Long Range"/>
    <n v="19"/>
    <x v="0"/>
    <s v="Vargas-Garcia Tesla"/>
  </r>
  <r>
    <s v="S0092"/>
    <s v="CUST0092"/>
    <x v="90"/>
    <x v="1"/>
    <s v="Europe"/>
    <x v="6"/>
    <s v="Leeds"/>
    <n v="3"/>
    <n v="324000"/>
    <x v="4"/>
    <s v="Long Range"/>
    <n v="33"/>
    <x v="0"/>
    <s v="Aguilar-Sanchez Tesla"/>
  </r>
  <r>
    <s v="S0093"/>
    <s v="CUST0093"/>
    <x v="91"/>
    <x v="3"/>
    <s v="Asia"/>
    <x v="4"/>
    <s v="BrasÃ­lia"/>
    <n v="4"/>
    <n v="180000"/>
    <x v="3"/>
    <s v="Standard Range"/>
    <n v="14"/>
    <x v="0"/>
    <s v="Smith-Martin Tesla"/>
  </r>
  <r>
    <s v="S0094"/>
    <s v="CUST0094"/>
    <x v="92"/>
    <x v="2"/>
    <s v="Asia"/>
    <x v="1"/>
    <s v="Paris"/>
    <n v="5"/>
    <n v="420000"/>
    <x v="2"/>
    <s v="Performance"/>
    <n v="8"/>
    <x v="1"/>
    <s v="Abbott LLC Tesla"/>
  </r>
  <r>
    <s v="S0095"/>
    <s v="CUST0095"/>
    <x v="93"/>
    <x v="3"/>
    <s v="Europe"/>
    <x v="4"/>
    <s v="SÃ£o Paulo"/>
    <n v="5"/>
    <n v="270000"/>
    <x v="3"/>
    <s v="Long Range"/>
    <n v="5"/>
    <x v="1"/>
    <s v="Knapp-Wilson Tesla"/>
  </r>
  <r>
    <s v="S0096"/>
    <s v="CUST0096"/>
    <x v="94"/>
    <x v="0"/>
    <s v="North America"/>
    <x v="3"/>
    <s v="Toronto"/>
    <n v="4"/>
    <n v="560000"/>
    <x v="4"/>
    <s v="Performance"/>
    <n v="26"/>
    <x v="1"/>
    <s v="Zimmerman, Bowman and Barnett Tesla"/>
  </r>
  <r>
    <s v="S0097"/>
    <s v="CUST0097"/>
    <x v="22"/>
    <x v="3"/>
    <s v="North America"/>
    <x v="1"/>
    <s v="Toulouse"/>
    <n v="2"/>
    <n v="108000"/>
    <x v="0"/>
    <s v="Long Range"/>
    <n v="31"/>
    <x v="1"/>
    <s v="Sullivan, Chandler and Conner Tesla"/>
  </r>
  <r>
    <s v="S0098"/>
    <s v="CUST0098"/>
    <x v="95"/>
    <x v="2"/>
    <s v="Europe"/>
    <x v="5"/>
    <s v="New York"/>
    <n v="1"/>
    <n v="84000"/>
    <x v="2"/>
    <s v="Performance"/>
    <n v="20"/>
    <x v="1"/>
    <s v="Casey-Sullivan Tesla"/>
  </r>
  <r>
    <s v="S0099"/>
    <s v="CUST0099"/>
    <x v="96"/>
    <x v="2"/>
    <s v="Asia"/>
    <x v="1"/>
    <s v="Lyon"/>
    <n v="5"/>
    <n v="300000"/>
    <x v="4"/>
    <s v="Standard Range"/>
    <n v="22"/>
    <x v="0"/>
    <s v="Oliver-Patterson Tesla"/>
  </r>
  <r>
    <s v="S0100"/>
    <s v="CUST0100"/>
    <x v="97"/>
    <x v="1"/>
    <s v="Asia"/>
    <x v="7"/>
    <s v="Perth"/>
    <n v="4"/>
    <n v="360000"/>
    <x v="3"/>
    <s v="Standard Range"/>
    <n v="53"/>
    <x v="1"/>
    <s v="Jones and Sons Tesla"/>
  </r>
  <r>
    <s v="S0101"/>
    <s v="CUST0101"/>
    <x v="3"/>
    <x v="0"/>
    <s v="Asia"/>
    <x v="8"/>
    <s v="Guangzhou"/>
    <n v="5"/>
    <n v="500000"/>
    <x v="1"/>
    <s v="Standard Range"/>
    <n v="33"/>
    <x v="1"/>
    <s v="Matthews-Clark Tesla"/>
  </r>
  <r>
    <s v="S0102"/>
    <s v="CUST0102"/>
    <x v="1"/>
    <x v="2"/>
    <s v="Asia"/>
    <x v="9"/>
    <s v="Yokohama"/>
    <n v="5"/>
    <n v="360000"/>
    <x v="2"/>
    <s v="Long Range"/>
    <n v="13"/>
    <x v="1"/>
    <s v="Maldonado, Cannon and Patton Tesla"/>
  </r>
  <r>
    <s v="S0103"/>
    <s v="CUST0103"/>
    <x v="2"/>
    <x v="3"/>
    <s v="Asia"/>
    <x v="2"/>
    <s v="Frankfurt"/>
    <n v="4"/>
    <n v="216000"/>
    <x v="2"/>
    <s v="Long Range"/>
    <n v="28"/>
    <x v="1"/>
    <s v="Robinson and Sons Tesla"/>
  </r>
  <r>
    <s v="S0104"/>
    <s v="CUST0104"/>
    <x v="98"/>
    <x v="2"/>
    <s v="Asia"/>
    <x v="1"/>
    <s v="Toulouse"/>
    <n v="1"/>
    <n v="60000"/>
    <x v="0"/>
    <s v="Standard Range"/>
    <n v="24"/>
    <x v="1"/>
    <s v="Mclaughlin-Graham Tesla"/>
  </r>
  <r>
    <s v="S0105"/>
    <s v="CUST0105"/>
    <x v="99"/>
    <x v="0"/>
    <s v="North America"/>
    <x v="8"/>
    <s v="Shenzhen"/>
    <n v="2"/>
    <n v="200000"/>
    <x v="1"/>
    <s v="Standard Range"/>
    <n v="52"/>
    <x v="1"/>
    <s v="Maldonado-Mcgrath Tesla"/>
  </r>
  <r>
    <s v="S0106"/>
    <s v="CUST0106"/>
    <x v="100"/>
    <x v="2"/>
    <s v="North America"/>
    <x v="1"/>
    <s v="Nice"/>
    <n v="1"/>
    <n v="72000"/>
    <x v="2"/>
    <s v="Long Range"/>
    <n v="41"/>
    <x v="1"/>
    <s v="Williams LLC Tesla"/>
  </r>
  <r>
    <s v="S0107"/>
    <s v="CUST0107"/>
    <x v="101"/>
    <x v="0"/>
    <s v="Asia"/>
    <x v="3"/>
    <s v="Toronto"/>
    <n v="5"/>
    <n v="500000"/>
    <x v="3"/>
    <s v="Standard Range"/>
    <n v="29"/>
    <x v="1"/>
    <s v="Benson-King Tesla"/>
  </r>
  <r>
    <s v="S0108"/>
    <s v="CUST0108"/>
    <x v="102"/>
    <x v="3"/>
    <s v="Europe"/>
    <x v="2"/>
    <s v="Hamburg"/>
    <n v="3"/>
    <n v="189000"/>
    <x v="0"/>
    <s v="Performance"/>
    <n v="11"/>
    <x v="0"/>
    <s v="Lane Group Tesla"/>
  </r>
  <r>
    <s v="S0109"/>
    <s v="CUST0109"/>
    <x v="103"/>
    <x v="0"/>
    <s v="Asia"/>
    <x v="1"/>
    <s v="Marseille"/>
    <n v="1"/>
    <n v="100000"/>
    <x v="4"/>
    <s v="Standard Range"/>
    <n v="45"/>
    <x v="0"/>
    <s v="Woods, Fleming and Brooks Tesla"/>
  </r>
  <r>
    <s v="S0110"/>
    <s v="CUST0110"/>
    <x v="12"/>
    <x v="2"/>
    <s v="Europe"/>
    <x v="3"/>
    <s v="Ottawa"/>
    <n v="5"/>
    <n v="360000"/>
    <x v="4"/>
    <s v="Long Range"/>
    <n v="38"/>
    <x v="1"/>
    <s v="Mejia-Davis Tesla"/>
  </r>
  <r>
    <s v="S0111"/>
    <s v="CUST0111"/>
    <x v="104"/>
    <x v="1"/>
    <s v="Asia"/>
    <x v="0"/>
    <s v="Bangalore"/>
    <n v="3"/>
    <n v="270000"/>
    <x v="1"/>
    <s v="Standard Range"/>
    <n v="18"/>
    <x v="1"/>
    <s v="Clark-Christensen Tesla"/>
  </r>
  <r>
    <s v="S0112"/>
    <s v="CUST0112"/>
    <x v="81"/>
    <x v="0"/>
    <s v="Asia"/>
    <x v="8"/>
    <s v="Beijing"/>
    <n v="5"/>
    <n v="700000"/>
    <x v="3"/>
    <s v="Performance"/>
    <n v="49"/>
    <x v="1"/>
    <s v="Mata Inc Tesla"/>
  </r>
  <r>
    <s v="S0113"/>
    <s v="CUST0113"/>
    <x v="105"/>
    <x v="2"/>
    <s v="North America"/>
    <x v="5"/>
    <s v="Chicago"/>
    <n v="5"/>
    <n v="360000"/>
    <x v="1"/>
    <s v="Long Range"/>
    <n v="19"/>
    <x v="0"/>
    <s v="Mcdaniel Ltd Tesla"/>
  </r>
  <r>
    <s v="S0114"/>
    <s v="CUST0114"/>
    <x v="106"/>
    <x v="0"/>
    <s v="Asia"/>
    <x v="3"/>
    <s v="Calgary"/>
    <n v="2"/>
    <n v="280000"/>
    <x v="1"/>
    <s v="Performance"/>
    <n v="38"/>
    <x v="1"/>
    <s v="Johnson, Chen and Lee Tesla"/>
  </r>
  <r>
    <s v="S0115"/>
    <s v="CUST0115"/>
    <x v="107"/>
    <x v="3"/>
    <s v="North America"/>
    <x v="7"/>
    <s v="Sydney"/>
    <n v="4"/>
    <n v="216000"/>
    <x v="4"/>
    <s v="Long Range"/>
    <n v="46"/>
    <x v="0"/>
    <s v="Bernard Group Tesla"/>
  </r>
  <r>
    <s v="S0116"/>
    <s v="CUST0116"/>
    <x v="6"/>
    <x v="1"/>
    <s v="Asia"/>
    <x v="9"/>
    <s v="Yokohama"/>
    <n v="2"/>
    <n v="180000"/>
    <x v="4"/>
    <s v="Standard Range"/>
    <n v="13"/>
    <x v="0"/>
    <s v="Moore, Kim and Owens Tesla"/>
  </r>
  <r>
    <s v="S0117"/>
    <s v="CUST0117"/>
    <x v="108"/>
    <x v="1"/>
    <s v="Europe"/>
    <x v="7"/>
    <s v="Melbourne"/>
    <n v="3"/>
    <n v="270000"/>
    <x v="0"/>
    <s v="Standard Range"/>
    <n v="40"/>
    <x v="1"/>
    <s v="Christensen Ltd Tesla"/>
  </r>
  <r>
    <s v="S0118"/>
    <s v="CUST0118"/>
    <x v="109"/>
    <x v="3"/>
    <s v="Asia"/>
    <x v="6"/>
    <s v="Manchester"/>
    <n v="4"/>
    <n v="252000"/>
    <x v="4"/>
    <s v="Performance"/>
    <n v="58"/>
    <x v="1"/>
    <s v="Brock Ltd Tesla"/>
  </r>
  <r>
    <s v="S0119"/>
    <s v="CUST0119"/>
    <x v="110"/>
    <x v="1"/>
    <s v="Europe"/>
    <x v="4"/>
    <s v="Fortaleza"/>
    <n v="3"/>
    <n v="324000"/>
    <x v="0"/>
    <s v="Long Range"/>
    <n v="54"/>
    <x v="1"/>
    <s v="Watson-Williams Tesla"/>
  </r>
  <r>
    <s v="S0120"/>
    <s v="CUST0120"/>
    <x v="111"/>
    <x v="0"/>
    <s v="North America"/>
    <x v="8"/>
    <s v="Chengdu"/>
    <n v="1"/>
    <n v="100000"/>
    <x v="2"/>
    <s v="Standard Range"/>
    <n v="38"/>
    <x v="1"/>
    <s v="Waller-Hernandez Tesla"/>
  </r>
  <r>
    <s v="S0121"/>
    <s v="CUST0121"/>
    <x v="112"/>
    <x v="3"/>
    <s v="North America"/>
    <x v="6"/>
    <s v="Birmingham"/>
    <n v="2"/>
    <n v="126000"/>
    <x v="2"/>
    <s v="Performance"/>
    <n v="20"/>
    <x v="1"/>
    <s v="Suarez, Nelson and Johnston Tesla"/>
  </r>
  <r>
    <s v="S0122"/>
    <s v="CUST0122"/>
    <x v="113"/>
    <x v="0"/>
    <s v="Europe"/>
    <x v="0"/>
    <s v="Hyderabad"/>
    <n v="3"/>
    <n v="300000"/>
    <x v="4"/>
    <s v="Standard Range"/>
    <n v="42"/>
    <x v="1"/>
    <s v="Guzman, Gallegos and Harvey Tesla"/>
  </r>
  <r>
    <s v="S0123"/>
    <s v="CUST0123"/>
    <x v="114"/>
    <x v="3"/>
    <s v="Asia"/>
    <x v="5"/>
    <s v="Chicago"/>
    <n v="1"/>
    <n v="45000"/>
    <x v="1"/>
    <s v="Standard Range"/>
    <n v="24"/>
    <x v="1"/>
    <s v="Wells, Barnes and Drake Tesla"/>
  </r>
  <r>
    <s v="S0124"/>
    <s v="CUST0124"/>
    <x v="115"/>
    <x v="1"/>
    <s v="North America"/>
    <x v="8"/>
    <s v="Shenzhen"/>
    <n v="2"/>
    <n v="216000"/>
    <x v="2"/>
    <s v="Long Range"/>
    <n v="45"/>
    <x v="1"/>
    <s v="Hernandez, Schwartz and Dunn Tesla"/>
  </r>
  <r>
    <s v="S0125"/>
    <s v="CUST0125"/>
    <x v="116"/>
    <x v="3"/>
    <s v="Europe"/>
    <x v="2"/>
    <s v="Frankfurt"/>
    <n v="5"/>
    <n v="270000"/>
    <x v="0"/>
    <s v="Long Range"/>
    <n v="14"/>
    <x v="0"/>
    <s v="Donaldson PLC Tesla"/>
  </r>
  <r>
    <s v="S0126"/>
    <s v="CUST0126"/>
    <x v="117"/>
    <x v="2"/>
    <s v="Europe"/>
    <x v="3"/>
    <s v="Calgary"/>
    <n v="2"/>
    <n v="144000"/>
    <x v="2"/>
    <s v="Long Range"/>
    <n v="57"/>
    <x v="0"/>
    <s v="Bowers, Calderon and Sims Tesla"/>
  </r>
  <r>
    <s v="S0127"/>
    <s v="CUST0127"/>
    <x v="71"/>
    <x v="2"/>
    <s v="North America"/>
    <x v="5"/>
    <s v="Chicago"/>
    <n v="5"/>
    <n v="420000"/>
    <x v="4"/>
    <s v="Performance"/>
    <n v="33"/>
    <x v="1"/>
    <s v="Wilson, Singleton and Moore Tesla"/>
  </r>
  <r>
    <s v="S0128"/>
    <s v="CUST0128"/>
    <x v="118"/>
    <x v="0"/>
    <s v="Asia"/>
    <x v="0"/>
    <s v="Hyderabad"/>
    <n v="1"/>
    <n v="140000"/>
    <x v="0"/>
    <s v="Performance"/>
    <n v="18"/>
    <x v="1"/>
    <s v="King-Farmer Tesla"/>
  </r>
  <r>
    <s v="S0129"/>
    <s v="CUST0129"/>
    <x v="99"/>
    <x v="2"/>
    <s v="Asia"/>
    <x v="8"/>
    <s v="Beijing"/>
    <n v="4"/>
    <n v="240000"/>
    <x v="1"/>
    <s v="Standard Range"/>
    <n v="39"/>
    <x v="0"/>
    <s v="Morrison-Wheeler Tesla"/>
  </r>
  <r>
    <s v="S0130"/>
    <s v="CUST0130"/>
    <x v="119"/>
    <x v="0"/>
    <s v="North America"/>
    <x v="3"/>
    <s v="Montreal"/>
    <n v="3"/>
    <n v="300000"/>
    <x v="0"/>
    <s v="Standard Range"/>
    <n v="38"/>
    <x v="1"/>
    <s v="Bell-Romero Tesla"/>
  </r>
  <r>
    <s v="S0131"/>
    <s v="CUST0131"/>
    <x v="45"/>
    <x v="2"/>
    <s v="North America"/>
    <x v="3"/>
    <s v="Vancouver"/>
    <n v="2"/>
    <n v="168000"/>
    <x v="2"/>
    <s v="Performance"/>
    <n v="54"/>
    <x v="0"/>
    <s v="Jensen, Arroyo and Anthony Tesla"/>
  </r>
  <r>
    <s v="S0132"/>
    <s v="CUST0132"/>
    <x v="120"/>
    <x v="3"/>
    <s v="Europe"/>
    <x v="2"/>
    <s v="Munich"/>
    <n v="4"/>
    <n v="180000"/>
    <x v="4"/>
    <s v="Standard Range"/>
    <n v="40"/>
    <x v="1"/>
    <s v="Duncan-Robinson Tesla"/>
  </r>
  <r>
    <s v="S0133"/>
    <s v="CUST0133"/>
    <x v="121"/>
    <x v="1"/>
    <s v="Asia"/>
    <x v="8"/>
    <s v="Shenzhen"/>
    <n v="5"/>
    <n v="540000"/>
    <x v="0"/>
    <s v="Long Range"/>
    <n v="21"/>
    <x v="0"/>
    <s v="Lewis-Anderson Tesla"/>
  </r>
  <r>
    <s v="S0134"/>
    <s v="CUST0134"/>
    <x v="122"/>
    <x v="3"/>
    <s v="Asia"/>
    <x v="0"/>
    <s v="Delhi"/>
    <n v="5"/>
    <n v="315000"/>
    <x v="1"/>
    <s v="Performance"/>
    <n v="39"/>
    <x v="1"/>
    <s v="Kim, Hall and Brown Tesla"/>
  </r>
  <r>
    <s v="S0135"/>
    <s v="CUST0135"/>
    <x v="123"/>
    <x v="0"/>
    <s v="Asia"/>
    <x v="9"/>
    <s v="Yokohama"/>
    <n v="1"/>
    <n v="100000"/>
    <x v="4"/>
    <s v="Standard Range"/>
    <n v="40"/>
    <x v="1"/>
    <s v="Shelton-Berry Tesla"/>
  </r>
  <r>
    <s v="S0136"/>
    <s v="CUST0136"/>
    <x v="124"/>
    <x v="3"/>
    <s v="Asia"/>
    <x v="2"/>
    <s v="Berlin"/>
    <n v="4"/>
    <n v="216000"/>
    <x v="4"/>
    <s v="Long Range"/>
    <n v="14"/>
    <x v="0"/>
    <s v="Merritt, Christian and Mitchell Tesla"/>
  </r>
  <r>
    <s v="S0137"/>
    <s v="CUST0137"/>
    <x v="125"/>
    <x v="3"/>
    <s v="North America"/>
    <x v="2"/>
    <s v="Berlin"/>
    <n v="2"/>
    <n v="90000"/>
    <x v="0"/>
    <s v="Standard Range"/>
    <n v="58"/>
    <x v="0"/>
    <s v="Carroll-Russo Tesla"/>
  </r>
  <r>
    <s v="S0138"/>
    <s v="CUST0138"/>
    <x v="123"/>
    <x v="2"/>
    <s v="Asia"/>
    <x v="0"/>
    <s v="Chennai"/>
    <n v="5"/>
    <n v="420000"/>
    <x v="0"/>
    <s v="Performance"/>
    <n v="35"/>
    <x v="0"/>
    <s v="Chang, Dickson and Lopez Tesla"/>
  </r>
  <r>
    <s v="S0139"/>
    <s v="CUST0139"/>
    <x v="37"/>
    <x v="2"/>
    <s v="Asia"/>
    <x v="9"/>
    <s v="Osaka"/>
    <n v="1"/>
    <n v="84000"/>
    <x v="3"/>
    <s v="Performance"/>
    <n v="51"/>
    <x v="0"/>
    <s v="Guerra-Campbell Tesla"/>
  </r>
  <r>
    <s v="S0140"/>
    <s v="CUST0140"/>
    <x v="126"/>
    <x v="2"/>
    <s v="Asia"/>
    <x v="4"/>
    <s v="Rio de Janeiro"/>
    <n v="3"/>
    <n v="180000"/>
    <x v="2"/>
    <s v="Standard Range"/>
    <n v="6"/>
    <x v="0"/>
    <s v="Warren and Sons Tesla"/>
  </r>
  <r>
    <s v="S0141"/>
    <s v="CUST0141"/>
    <x v="127"/>
    <x v="1"/>
    <s v="Europe"/>
    <x v="9"/>
    <s v="Osaka"/>
    <n v="1"/>
    <n v="108000"/>
    <x v="3"/>
    <s v="Long Range"/>
    <n v="39"/>
    <x v="1"/>
    <s v="Anderson-Walters Tesla"/>
  </r>
  <r>
    <s v="S0142"/>
    <s v="CUST0142"/>
    <x v="128"/>
    <x v="0"/>
    <s v="North America"/>
    <x v="4"/>
    <s v="Rio de Janeiro"/>
    <n v="2"/>
    <n v="240000"/>
    <x v="1"/>
    <s v="Long Range"/>
    <n v="35"/>
    <x v="1"/>
    <s v="Rhodes, Rivera and Hancock Tesla"/>
  </r>
  <r>
    <s v="S0143"/>
    <s v="CUST0143"/>
    <x v="129"/>
    <x v="3"/>
    <s v="Asia"/>
    <x v="6"/>
    <s v="London"/>
    <n v="3"/>
    <n v="135000"/>
    <x v="3"/>
    <s v="Standard Range"/>
    <n v="58"/>
    <x v="0"/>
    <s v="Higgins, Sheppard and Harper Tesla"/>
  </r>
  <r>
    <s v="S0144"/>
    <s v="CUST0144"/>
    <x v="130"/>
    <x v="2"/>
    <s v="Asia"/>
    <x v="9"/>
    <s v="Yokohama"/>
    <n v="1"/>
    <n v="60000"/>
    <x v="3"/>
    <s v="Standard Range"/>
    <n v="6"/>
    <x v="1"/>
    <s v="Wells-Hunt Tesla"/>
  </r>
  <r>
    <s v="S0145"/>
    <s v="CUST0145"/>
    <x v="124"/>
    <x v="2"/>
    <s v="Asia"/>
    <x v="7"/>
    <s v="Perth"/>
    <n v="1"/>
    <n v="84000"/>
    <x v="4"/>
    <s v="Performance"/>
    <n v="13"/>
    <x v="1"/>
    <s v="Guzman Ltd Tesla"/>
  </r>
  <r>
    <s v="S0146"/>
    <s v="CUST0146"/>
    <x v="131"/>
    <x v="1"/>
    <s v="North America"/>
    <x v="2"/>
    <s v="Frankfurt"/>
    <n v="4"/>
    <n v="432000"/>
    <x v="1"/>
    <s v="Long Range"/>
    <n v="52"/>
    <x v="0"/>
    <s v="Collins PLC Tesla"/>
  </r>
  <r>
    <s v="S0147"/>
    <s v="CUST0147"/>
    <x v="132"/>
    <x v="0"/>
    <s v="Asia"/>
    <x v="7"/>
    <s v="Perth"/>
    <n v="4"/>
    <n v="400000"/>
    <x v="4"/>
    <s v="Standard Range"/>
    <n v="29"/>
    <x v="1"/>
    <s v="Fisher Inc Tesla"/>
  </r>
  <r>
    <s v="S0148"/>
    <s v="CUST0148"/>
    <x v="133"/>
    <x v="1"/>
    <s v="North America"/>
    <x v="7"/>
    <s v="Brisbane"/>
    <n v="1"/>
    <n v="108000"/>
    <x v="4"/>
    <s v="Long Range"/>
    <n v="57"/>
    <x v="1"/>
    <s v="Martin-Ortega Tesla"/>
  </r>
  <r>
    <s v="S0149"/>
    <s v="CUST0149"/>
    <x v="134"/>
    <x v="1"/>
    <s v="Asia"/>
    <x v="8"/>
    <s v="Shanghai"/>
    <n v="1"/>
    <n v="90000"/>
    <x v="2"/>
    <s v="Standard Range"/>
    <n v="17"/>
    <x v="1"/>
    <s v="Freeman PLC Tesla"/>
  </r>
  <r>
    <s v="S0150"/>
    <s v="CUST0150"/>
    <x v="135"/>
    <x v="3"/>
    <s v="North America"/>
    <x v="1"/>
    <s v="Nice"/>
    <n v="1"/>
    <n v="54000"/>
    <x v="2"/>
    <s v="Long Range"/>
    <n v="41"/>
    <x v="0"/>
    <s v="Krueger LLC Tesla"/>
  </r>
  <r>
    <s v="S0151"/>
    <s v="CUST0151"/>
    <x v="136"/>
    <x v="1"/>
    <s v="Europe"/>
    <x v="8"/>
    <s v="Guangzhou"/>
    <n v="2"/>
    <n v="216000"/>
    <x v="3"/>
    <s v="Long Range"/>
    <n v="42"/>
    <x v="0"/>
    <s v="Anderson-Ibarra Tesla"/>
  </r>
  <r>
    <s v="S0152"/>
    <s v="CUST0152"/>
    <x v="137"/>
    <x v="1"/>
    <s v="Europe"/>
    <x v="5"/>
    <s v="Houston"/>
    <n v="4"/>
    <n v="360000"/>
    <x v="1"/>
    <s v="Standard Range"/>
    <n v="59"/>
    <x v="0"/>
    <s v="Valentine, Miller and Smith Tesla"/>
  </r>
  <r>
    <s v="S0153"/>
    <s v="CUST0153"/>
    <x v="47"/>
    <x v="1"/>
    <s v="Europe"/>
    <x v="8"/>
    <s v="Beijing"/>
    <n v="4"/>
    <n v="432000"/>
    <x v="2"/>
    <s v="Long Range"/>
    <n v="41"/>
    <x v="1"/>
    <s v="Leon LLC Tesla"/>
  </r>
  <r>
    <s v="S0154"/>
    <s v="CUST0154"/>
    <x v="138"/>
    <x v="3"/>
    <s v="Asia"/>
    <x v="5"/>
    <s v="New York"/>
    <n v="2"/>
    <n v="108000"/>
    <x v="4"/>
    <s v="Long Range"/>
    <n v="51"/>
    <x v="0"/>
    <s v="Young Ltd Tesla"/>
  </r>
  <r>
    <s v="S0155"/>
    <s v="CUST0155"/>
    <x v="139"/>
    <x v="0"/>
    <s v="Europe"/>
    <x v="5"/>
    <s v="San Francisco"/>
    <n v="1"/>
    <n v="100000"/>
    <x v="4"/>
    <s v="Standard Range"/>
    <n v="39"/>
    <x v="1"/>
    <s v="Adkins Inc Tesla"/>
  </r>
  <r>
    <s v="S0156"/>
    <s v="CUST0156"/>
    <x v="140"/>
    <x v="2"/>
    <s v="North America"/>
    <x v="4"/>
    <s v="BrasÃ­lia"/>
    <n v="4"/>
    <n v="240000"/>
    <x v="4"/>
    <s v="Standard Range"/>
    <n v="7"/>
    <x v="0"/>
    <s v="Martin-Frederick Tesla"/>
  </r>
  <r>
    <s v="S0157"/>
    <s v="CUST0157"/>
    <x v="141"/>
    <x v="2"/>
    <s v="Europe"/>
    <x v="6"/>
    <s v="London"/>
    <n v="5"/>
    <n v="360000"/>
    <x v="4"/>
    <s v="Long Range"/>
    <n v="49"/>
    <x v="1"/>
    <s v="Austin, Brooks and Marquez Tesla"/>
  </r>
  <r>
    <s v="S0158"/>
    <s v="CUST0158"/>
    <x v="142"/>
    <x v="0"/>
    <s v="North America"/>
    <x v="1"/>
    <s v="Lyon"/>
    <n v="5"/>
    <n v="500000"/>
    <x v="3"/>
    <s v="Standard Range"/>
    <n v="55"/>
    <x v="1"/>
    <s v="Ortiz, Frost and Mckinney Tesla"/>
  </r>
  <r>
    <s v="S0159"/>
    <s v="CUST0159"/>
    <x v="143"/>
    <x v="2"/>
    <s v="North America"/>
    <x v="3"/>
    <s v="Ottawa"/>
    <n v="3"/>
    <n v="180000"/>
    <x v="3"/>
    <s v="Standard Range"/>
    <n v="51"/>
    <x v="0"/>
    <s v="Murray PLC Tesla"/>
  </r>
  <r>
    <s v="S0160"/>
    <s v="CUST0160"/>
    <x v="24"/>
    <x v="3"/>
    <s v="Europe"/>
    <x v="7"/>
    <s v="Adelaide"/>
    <n v="4"/>
    <n v="216000"/>
    <x v="4"/>
    <s v="Long Range"/>
    <n v="5"/>
    <x v="1"/>
    <s v="Rhodes Group Tesla"/>
  </r>
  <r>
    <s v="S0161"/>
    <s v="CUST0161"/>
    <x v="14"/>
    <x v="1"/>
    <s v="Europe"/>
    <x v="0"/>
    <s v="Bangalore"/>
    <n v="2"/>
    <n v="216000"/>
    <x v="0"/>
    <s v="Long Range"/>
    <n v="53"/>
    <x v="0"/>
    <s v="Wilson, Monroe and Smith Tesla"/>
  </r>
  <r>
    <s v="S0162"/>
    <s v="CUST0162"/>
    <x v="144"/>
    <x v="0"/>
    <s v="Europe"/>
    <x v="8"/>
    <s v="Shenzhen"/>
    <n v="4"/>
    <n v="560000"/>
    <x v="0"/>
    <s v="Performance"/>
    <n v="38"/>
    <x v="0"/>
    <s v="Taylor-Lopez Tesla"/>
  </r>
  <r>
    <s v="S0163"/>
    <s v="CUST0163"/>
    <x v="145"/>
    <x v="3"/>
    <s v="North America"/>
    <x v="8"/>
    <s v="Guangzhou"/>
    <n v="2"/>
    <n v="126000"/>
    <x v="2"/>
    <s v="Performance"/>
    <n v="8"/>
    <x v="0"/>
    <s v="Berg, Fernandez and Hobbs Tesla"/>
  </r>
  <r>
    <s v="S0164"/>
    <s v="CUST0164"/>
    <x v="146"/>
    <x v="2"/>
    <s v="North America"/>
    <x v="4"/>
    <s v="SÃ£o Paulo"/>
    <n v="3"/>
    <n v="252000"/>
    <x v="1"/>
    <s v="Performance"/>
    <n v="30"/>
    <x v="0"/>
    <s v="Allen, Hernandez and Matthews Tesla"/>
  </r>
  <r>
    <s v="S0165"/>
    <s v="CUST0165"/>
    <x v="147"/>
    <x v="0"/>
    <s v="Asia"/>
    <x v="1"/>
    <s v="Marseille"/>
    <n v="3"/>
    <n v="300000"/>
    <x v="0"/>
    <s v="Standard Range"/>
    <n v="40"/>
    <x v="1"/>
    <s v="Edwards, Byrd and Ellison Tesla"/>
  </r>
  <r>
    <s v="S0166"/>
    <s v="CUST0166"/>
    <x v="148"/>
    <x v="0"/>
    <s v="Europe"/>
    <x v="1"/>
    <s v="Paris"/>
    <n v="3"/>
    <n v="300000"/>
    <x v="3"/>
    <s v="Standard Range"/>
    <n v="57"/>
    <x v="0"/>
    <s v="Gordon, Contreras and Cooley Tesla"/>
  </r>
  <r>
    <s v="S0167"/>
    <s v="CUST0167"/>
    <x v="149"/>
    <x v="2"/>
    <s v="Asia"/>
    <x v="9"/>
    <s v="Tokyo"/>
    <n v="1"/>
    <n v="84000"/>
    <x v="2"/>
    <s v="Performance"/>
    <n v="21"/>
    <x v="0"/>
    <s v="Hebert, Lee and King Tesla"/>
  </r>
  <r>
    <s v="S0168"/>
    <s v="CUST0168"/>
    <x v="150"/>
    <x v="1"/>
    <s v="Asia"/>
    <x v="3"/>
    <s v="Calgary"/>
    <n v="1"/>
    <n v="126000"/>
    <x v="4"/>
    <s v="Performance"/>
    <n v="20"/>
    <x v="1"/>
    <s v="Ellis, Sullivan and Ward Tesla"/>
  </r>
  <r>
    <s v="S0169"/>
    <s v="CUST0169"/>
    <x v="151"/>
    <x v="2"/>
    <s v="Europe"/>
    <x v="6"/>
    <s v="Liverpool"/>
    <n v="2"/>
    <n v="144000"/>
    <x v="1"/>
    <s v="Long Range"/>
    <n v="6"/>
    <x v="0"/>
    <s v="Lynch, Serrano and Andrews Tesla"/>
  </r>
  <r>
    <s v="S0170"/>
    <s v="CUST0170"/>
    <x v="152"/>
    <x v="1"/>
    <s v="Europe"/>
    <x v="3"/>
    <s v="Montreal"/>
    <n v="3"/>
    <n v="270000"/>
    <x v="1"/>
    <s v="Standard Range"/>
    <n v="50"/>
    <x v="1"/>
    <s v="King-Ingram Tesla"/>
  </r>
  <r>
    <s v="S0171"/>
    <s v="CUST0171"/>
    <x v="153"/>
    <x v="3"/>
    <s v="Asia"/>
    <x v="4"/>
    <s v="Fortaleza"/>
    <n v="2"/>
    <n v="108000"/>
    <x v="3"/>
    <s v="Long Range"/>
    <n v="39"/>
    <x v="0"/>
    <s v="Lewis, Walker and Allen Tesla"/>
  </r>
  <r>
    <s v="S0172"/>
    <s v="CUST0172"/>
    <x v="115"/>
    <x v="3"/>
    <s v="Asia"/>
    <x v="5"/>
    <s v="Chicago"/>
    <n v="5"/>
    <n v="315000"/>
    <x v="3"/>
    <s v="Performance"/>
    <n v="55"/>
    <x v="1"/>
    <s v="Murphy, Jackson and Eaton Tesla"/>
  </r>
  <r>
    <s v="S0173"/>
    <s v="CUST0173"/>
    <x v="154"/>
    <x v="3"/>
    <s v="Europe"/>
    <x v="9"/>
    <s v="Sapporo"/>
    <n v="3"/>
    <n v="189000"/>
    <x v="1"/>
    <s v="Performance"/>
    <n v="44"/>
    <x v="1"/>
    <s v="Jackson, Reynolds and Diaz Tesla"/>
  </r>
  <r>
    <s v="S0174"/>
    <s v="CUST0174"/>
    <x v="155"/>
    <x v="2"/>
    <s v="North America"/>
    <x v="5"/>
    <s v="Houston"/>
    <n v="4"/>
    <n v="336000"/>
    <x v="2"/>
    <s v="Performance"/>
    <n v="56"/>
    <x v="0"/>
    <s v="Newton LLC Tesla"/>
  </r>
  <r>
    <s v="S0175"/>
    <s v="CUST0175"/>
    <x v="156"/>
    <x v="0"/>
    <s v="Europe"/>
    <x v="0"/>
    <s v="Delhi"/>
    <n v="2"/>
    <n v="200000"/>
    <x v="1"/>
    <s v="Standard Range"/>
    <n v="29"/>
    <x v="0"/>
    <s v="Russell, Gilmore and Mullen Tesla"/>
  </r>
  <r>
    <s v="S0176"/>
    <s v="CUST0176"/>
    <x v="157"/>
    <x v="3"/>
    <s v="North America"/>
    <x v="7"/>
    <s v="Adelaide"/>
    <n v="4"/>
    <n v="180000"/>
    <x v="0"/>
    <s v="Standard Range"/>
    <n v="32"/>
    <x v="1"/>
    <s v="Flores PLC Tesla"/>
  </r>
  <r>
    <s v="S0177"/>
    <s v="CUST0177"/>
    <x v="77"/>
    <x v="2"/>
    <s v="North America"/>
    <x v="5"/>
    <s v="Chicago"/>
    <n v="4"/>
    <n v="288000"/>
    <x v="4"/>
    <s v="Long Range"/>
    <n v="6"/>
    <x v="1"/>
    <s v="Santiago PLC Tesla"/>
  </r>
  <r>
    <s v="S0178"/>
    <s v="CUST0178"/>
    <x v="21"/>
    <x v="0"/>
    <s v="North America"/>
    <x v="9"/>
    <s v="Tokyo"/>
    <n v="4"/>
    <n v="400000"/>
    <x v="4"/>
    <s v="Standard Range"/>
    <n v="49"/>
    <x v="1"/>
    <s v="Moore, Walker and Cook Tesla"/>
  </r>
  <r>
    <s v="S0179"/>
    <s v="CUST0179"/>
    <x v="158"/>
    <x v="1"/>
    <s v="North America"/>
    <x v="8"/>
    <s v="Guangzhou"/>
    <n v="2"/>
    <n v="216000"/>
    <x v="2"/>
    <s v="Long Range"/>
    <n v="27"/>
    <x v="0"/>
    <s v="Thomas, Mitchell and Simpson Tesla"/>
  </r>
  <r>
    <s v="S0180"/>
    <s v="CUST0180"/>
    <x v="159"/>
    <x v="3"/>
    <s v="Europe"/>
    <x v="8"/>
    <s v="Beijing"/>
    <n v="1"/>
    <n v="54000"/>
    <x v="2"/>
    <s v="Long Range"/>
    <n v="23"/>
    <x v="0"/>
    <s v="Kirby, Huang and Clayton Tesla"/>
  </r>
  <r>
    <s v="S0181"/>
    <s v="CUST0181"/>
    <x v="160"/>
    <x v="0"/>
    <s v="North America"/>
    <x v="4"/>
    <s v="Rio de Janeiro"/>
    <n v="2"/>
    <n v="240000"/>
    <x v="2"/>
    <s v="Long Range"/>
    <n v="48"/>
    <x v="0"/>
    <s v="Romero-Williams Tesla"/>
  </r>
  <r>
    <s v="S0182"/>
    <s v="CUST0182"/>
    <x v="161"/>
    <x v="1"/>
    <s v="Asia"/>
    <x v="7"/>
    <s v="Sydney"/>
    <n v="1"/>
    <n v="108000"/>
    <x v="2"/>
    <s v="Long Range"/>
    <n v="52"/>
    <x v="1"/>
    <s v="Robertson, Alvarez and Webb Tesla"/>
  </r>
  <r>
    <s v="S0183"/>
    <s v="CUST0183"/>
    <x v="162"/>
    <x v="2"/>
    <s v="Europe"/>
    <x v="3"/>
    <s v="Vancouver"/>
    <n v="2"/>
    <n v="168000"/>
    <x v="2"/>
    <s v="Performance"/>
    <n v="21"/>
    <x v="0"/>
    <s v="Medina, Guzman and Walker Tesla"/>
  </r>
  <r>
    <s v="S0184"/>
    <s v="CUST0184"/>
    <x v="163"/>
    <x v="0"/>
    <s v="North America"/>
    <x v="1"/>
    <s v="Toulouse"/>
    <n v="1"/>
    <n v="140000"/>
    <x v="1"/>
    <s v="Performance"/>
    <n v="47"/>
    <x v="0"/>
    <s v="Wang Group Tesla"/>
  </r>
  <r>
    <s v="S0185"/>
    <s v="CUST0185"/>
    <x v="164"/>
    <x v="1"/>
    <s v="Europe"/>
    <x v="5"/>
    <s v="Houston"/>
    <n v="1"/>
    <n v="90000"/>
    <x v="3"/>
    <s v="Standard Range"/>
    <n v="31"/>
    <x v="0"/>
    <s v="Foster, Jones and Nielsen Tesla"/>
  </r>
  <r>
    <s v="S0186"/>
    <s v="CUST0186"/>
    <x v="165"/>
    <x v="1"/>
    <s v="Asia"/>
    <x v="5"/>
    <s v="San Francisco"/>
    <n v="3"/>
    <n v="324000"/>
    <x v="2"/>
    <s v="Long Range"/>
    <n v="30"/>
    <x v="0"/>
    <s v="Morrow, Bartlett and Love Tesla"/>
  </r>
  <r>
    <s v="S0187"/>
    <s v="CUST0187"/>
    <x v="166"/>
    <x v="0"/>
    <s v="Europe"/>
    <x v="8"/>
    <s v="Shenzhen"/>
    <n v="4"/>
    <n v="480000"/>
    <x v="1"/>
    <s v="Long Range"/>
    <n v="19"/>
    <x v="1"/>
    <s v="Kirby, Moore and Fisher Tesla"/>
  </r>
  <r>
    <s v="S0188"/>
    <s v="CUST0188"/>
    <x v="167"/>
    <x v="2"/>
    <s v="Europe"/>
    <x v="7"/>
    <s v="Adelaide"/>
    <n v="1"/>
    <n v="60000"/>
    <x v="3"/>
    <s v="Standard Range"/>
    <n v="30"/>
    <x v="1"/>
    <s v="Kelly, Turner and Wolfe Tesla"/>
  </r>
  <r>
    <s v="S0189"/>
    <s v="CUST0189"/>
    <x v="168"/>
    <x v="2"/>
    <s v="Europe"/>
    <x v="7"/>
    <s v="Brisbane"/>
    <n v="2"/>
    <n v="168000"/>
    <x v="3"/>
    <s v="Performance"/>
    <n v="12"/>
    <x v="1"/>
    <s v="Davis, Frederick and Butler Tesla"/>
  </r>
  <r>
    <s v="S0190"/>
    <s v="CUST0190"/>
    <x v="169"/>
    <x v="3"/>
    <s v="North America"/>
    <x v="3"/>
    <s v="Montreal"/>
    <n v="1"/>
    <n v="45000"/>
    <x v="3"/>
    <s v="Standard Range"/>
    <n v="13"/>
    <x v="0"/>
    <s v="Mcintosh Group Tesla"/>
  </r>
  <r>
    <s v="S0191"/>
    <s v="CUST0191"/>
    <x v="170"/>
    <x v="2"/>
    <s v="North America"/>
    <x v="3"/>
    <s v="Toronto"/>
    <n v="2"/>
    <n v="168000"/>
    <x v="2"/>
    <s v="Performance"/>
    <n v="44"/>
    <x v="1"/>
    <s v="Mccarthy Group Tesla"/>
  </r>
  <r>
    <s v="S0192"/>
    <s v="CUST0192"/>
    <x v="171"/>
    <x v="1"/>
    <s v="Asia"/>
    <x v="8"/>
    <s v="Chengdu"/>
    <n v="2"/>
    <n v="252000"/>
    <x v="2"/>
    <s v="Performance"/>
    <n v="49"/>
    <x v="1"/>
    <s v="Humphrey, Meyer and Burke Tesla"/>
  </r>
  <r>
    <s v="S0193"/>
    <s v="CUST0193"/>
    <x v="172"/>
    <x v="3"/>
    <s v="North America"/>
    <x v="8"/>
    <s v="Shanghai"/>
    <n v="1"/>
    <n v="45000"/>
    <x v="4"/>
    <s v="Standard Range"/>
    <n v="28"/>
    <x v="1"/>
    <s v="Miller, Rojas and Morris Tesla"/>
  </r>
  <r>
    <s v="S0194"/>
    <s v="CUST0194"/>
    <x v="173"/>
    <x v="0"/>
    <s v="Asia"/>
    <x v="1"/>
    <s v="Toulouse"/>
    <n v="5"/>
    <n v="500000"/>
    <x v="0"/>
    <s v="Standard Range"/>
    <n v="8"/>
    <x v="1"/>
    <s v="Burns Group Tesla"/>
  </r>
  <r>
    <s v="S0195"/>
    <s v="CUST0195"/>
    <x v="174"/>
    <x v="2"/>
    <s v="Europe"/>
    <x v="1"/>
    <s v="Toulouse"/>
    <n v="1"/>
    <n v="84000"/>
    <x v="3"/>
    <s v="Performance"/>
    <n v="40"/>
    <x v="0"/>
    <s v="Carrillo, Cook and Chaney Tesla"/>
  </r>
  <r>
    <s v="S0196"/>
    <s v="CUST0196"/>
    <x v="175"/>
    <x v="1"/>
    <s v="Asia"/>
    <x v="1"/>
    <s v="Marseille"/>
    <n v="5"/>
    <n v="450000"/>
    <x v="3"/>
    <s v="Standard Range"/>
    <n v="37"/>
    <x v="1"/>
    <s v="Kim, Obrien and Williams Tesla"/>
  </r>
  <r>
    <s v="S0197"/>
    <s v="CUST0197"/>
    <x v="176"/>
    <x v="2"/>
    <s v="Europe"/>
    <x v="6"/>
    <s v="London"/>
    <n v="1"/>
    <n v="84000"/>
    <x v="2"/>
    <s v="Performance"/>
    <n v="27"/>
    <x v="0"/>
    <s v="Short PLC Tesla"/>
  </r>
  <r>
    <s v="S0198"/>
    <s v="CUST0198"/>
    <x v="177"/>
    <x v="0"/>
    <s v="Europe"/>
    <x v="7"/>
    <s v="Adelaide"/>
    <n v="5"/>
    <n v="600000"/>
    <x v="2"/>
    <s v="Long Range"/>
    <n v="13"/>
    <x v="1"/>
    <s v="Johnson-Logan Tesla"/>
  </r>
  <r>
    <s v="S0199"/>
    <s v="CUST0199"/>
    <x v="178"/>
    <x v="0"/>
    <s v="Europe"/>
    <x v="2"/>
    <s v="Hamburg"/>
    <n v="4"/>
    <n v="560000"/>
    <x v="3"/>
    <s v="Performance"/>
    <n v="30"/>
    <x v="0"/>
    <s v="Adams-Galloway Tesla"/>
  </r>
  <r>
    <s v="S0200"/>
    <s v="CUST0200"/>
    <x v="179"/>
    <x v="0"/>
    <s v="North America"/>
    <x v="9"/>
    <s v="Yokohama"/>
    <n v="2"/>
    <n v="240000"/>
    <x v="0"/>
    <s v="Long Range"/>
    <n v="29"/>
    <x v="0"/>
    <s v="Smith and Sons Tesla"/>
  </r>
  <r>
    <s v="S0201"/>
    <s v="CUST0201"/>
    <x v="180"/>
    <x v="2"/>
    <s v="Europe"/>
    <x v="1"/>
    <s v="Toulouse"/>
    <n v="3"/>
    <n v="180000"/>
    <x v="3"/>
    <s v="Standard Range"/>
    <n v="24"/>
    <x v="1"/>
    <s v="Parsons-Hobbs Tesla"/>
  </r>
  <r>
    <s v="S0202"/>
    <s v="CUST0202"/>
    <x v="181"/>
    <x v="1"/>
    <s v="Europe"/>
    <x v="1"/>
    <s v="Lyon"/>
    <n v="5"/>
    <n v="450000"/>
    <x v="0"/>
    <s v="Standard Range"/>
    <n v="5"/>
    <x v="1"/>
    <s v="Jackson LLC Tesla"/>
  </r>
  <r>
    <s v="S0203"/>
    <s v="CUST0203"/>
    <x v="182"/>
    <x v="3"/>
    <s v="North America"/>
    <x v="5"/>
    <s v="San Francisco"/>
    <n v="4"/>
    <n v="252000"/>
    <x v="4"/>
    <s v="Performance"/>
    <n v="58"/>
    <x v="1"/>
    <s v="Oliver, Russell and Rodriguez Tesla"/>
  </r>
  <r>
    <s v="S0204"/>
    <s v="CUST0204"/>
    <x v="183"/>
    <x v="2"/>
    <s v="North America"/>
    <x v="8"/>
    <s v="Guangzhou"/>
    <n v="5"/>
    <n v="420000"/>
    <x v="3"/>
    <s v="Performance"/>
    <n v="60"/>
    <x v="1"/>
    <s v="Hoover Ltd Tesla"/>
  </r>
  <r>
    <s v="S0205"/>
    <s v="CUST0205"/>
    <x v="184"/>
    <x v="3"/>
    <s v="Asia"/>
    <x v="3"/>
    <s v="Toronto"/>
    <n v="3"/>
    <n v="162000"/>
    <x v="3"/>
    <s v="Long Range"/>
    <n v="13"/>
    <x v="1"/>
    <s v="Figueroa, Fisher and Turner Tesla"/>
  </r>
  <r>
    <s v="S0206"/>
    <s v="CUST0206"/>
    <x v="149"/>
    <x v="1"/>
    <s v="North America"/>
    <x v="0"/>
    <s v="Delhi"/>
    <n v="1"/>
    <n v="126000"/>
    <x v="3"/>
    <s v="Performance"/>
    <n v="32"/>
    <x v="0"/>
    <s v="Figueroa-Fuller Tesla"/>
  </r>
  <r>
    <s v="S0207"/>
    <s v="CUST0207"/>
    <x v="120"/>
    <x v="3"/>
    <s v="Asia"/>
    <x v="5"/>
    <s v="Los Angeles"/>
    <n v="4"/>
    <n v="216000"/>
    <x v="2"/>
    <s v="Long Range"/>
    <n v="25"/>
    <x v="1"/>
    <s v="Barnes Ltd Tesla"/>
  </r>
  <r>
    <s v="S0208"/>
    <s v="CUST0208"/>
    <x v="185"/>
    <x v="3"/>
    <s v="Asia"/>
    <x v="0"/>
    <s v="Delhi"/>
    <n v="4"/>
    <n v="180000"/>
    <x v="1"/>
    <s v="Standard Range"/>
    <n v="57"/>
    <x v="0"/>
    <s v="Munoz, Short and Johnson Tesla"/>
  </r>
  <r>
    <s v="S0209"/>
    <s v="CUST0209"/>
    <x v="8"/>
    <x v="0"/>
    <s v="North America"/>
    <x v="2"/>
    <s v="Frankfurt"/>
    <n v="5"/>
    <n v="600000"/>
    <x v="0"/>
    <s v="Long Range"/>
    <n v="12"/>
    <x v="1"/>
    <s v="Davis-Cline Tesla"/>
  </r>
  <r>
    <s v="S0210"/>
    <s v="CUST0210"/>
    <x v="186"/>
    <x v="2"/>
    <s v="Europe"/>
    <x v="5"/>
    <s v="Los Angeles"/>
    <n v="4"/>
    <n v="336000"/>
    <x v="4"/>
    <s v="Performance"/>
    <n v="35"/>
    <x v="0"/>
    <s v="Warren Ltd Tesla"/>
  </r>
  <r>
    <s v="S0211"/>
    <s v="CUST0211"/>
    <x v="187"/>
    <x v="3"/>
    <s v="Asia"/>
    <x v="9"/>
    <s v="Sapporo"/>
    <n v="2"/>
    <n v="108000"/>
    <x v="4"/>
    <s v="Long Range"/>
    <n v="11"/>
    <x v="0"/>
    <s v="Kim, Clark and Phillips Tesla"/>
  </r>
  <r>
    <s v="S0212"/>
    <s v="CUST0212"/>
    <x v="188"/>
    <x v="2"/>
    <s v="Europe"/>
    <x v="4"/>
    <s v="BrasÃ­lia"/>
    <n v="1"/>
    <n v="60000"/>
    <x v="4"/>
    <s v="Standard Range"/>
    <n v="18"/>
    <x v="1"/>
    <s v="Martin Group Tesla"/>
  </r>
  <r>
    <s v="S0213"/>
    <s v="CUST0213"/>
    <x v="189"/>
    <x v="1"/>
    <s v="North America"/>
    <x v="4"/>
    <s v="Salvador"/>
    <n v="4"/>
    <n v="360000"/>
    <x v="0"/>
    <s v="Standard Range"/>
    <n v="21"/>
    <x v="0"/>
    <s v="Baker-Nash Tesla"/>
  </r>
  <r>
    <s v="S0214"/>
    <s v="CUST0214"/>
    <x v="123"/>
    <x v="2"/>
    <s v="Europe"/>
    <x v="0"/>
    <s v="Mumbai"/>
    <n v="3"/>
    <n v="216000"/>
    <x v="1"/>
    <s v="Long Range"/>
    <n v="48"/>
    <x v="0"/>
    <s v="Burnett and Sons Tesla"/>
  </r>
  <r>
    <s v="S0215"/>
    <s v="CUST0215"/>
    <x v="190"/>
    <x v="1"/>
    <s v="North America"/>
    <x v="1"/>
    <s v="Paris"/>
    <n v="4"/>
    <n v="504000"/>
    <x v="1"/>
    <s v="Performance"/>
    <n v="15"/>
    <x v="1"/>
    <s v="Park Ltd Tesla"/>
  </r>
  <r>
    <s v="S0216"/>
    <s v="CUST0216"/>
    <x v="93"/>
    <x v="3"/>
    <s v="North America"/>
    <x v="8"/>
    <s v="Guangzhou"/>
    <n v="2"/>
    <n v="90000"/>
    <x v="3"/>
    <s v="Standard Range"/>
    <n v="55"/>
    <x v="0"/>
    <s v="Moore, Flores and Nguyen Tesla"/>
  </r>
  <r>
    <s v="S0217"/>
    <s v="CUST0217"/>
    <x v="191"/>
    <x v="2"/>
    <s v="North America"/>
    <x v="9"/>
    <s v="Sapporo"/>
    <n v="4"/>
    <n v="240000"/>
    <x v="1"/>
    <s v="Standard Range"/>
    <n v="60"/>
    <x v="1"/>
    <s v="Ramos-Watkins Tesla"/>
  </r>
  <r>
    <s v="S0218"/>
    <s v="CUST0218"/>
    <x v="1"/>
    <x v="2"/>
    <s v="Europe"/>
    <x v="4"/>
    <s v="BrasÃ­lia"/>
    <n v="2"/>
    <n v="168000"/>
    <x v="2"/>
    <s v="Performance"/>
    <n v="46"/>
    <x v="0"/>
    <s v="Gomez and Sons Tesla"/>
  </r>
  <r>
    <s v="S0219"/>
    <s v="CUST0219"/>
    <x v="192"/>
    <x v="1"/>
    <s v="Asia"/>
    <x v="7"/>
    <s v="Melbourne"/>
    <n v="5"/>
    <n v="630000"/>
    <x v="3"/>
    <s v="Performance"/>
    <n v="17"/>
    <x v="1"/>
    <s v="Gill LLC Tesla"/>
  </r>
  <r>
    <s v="S0220"/>
    <s v="CUST0220"/>
    <x v="152"/>
    <x v="0"/>
    <s v="Europe"/>
    <x v="2"/>
    <s v="Hamburg"/>
    <n v="4"/>
    <n v="560000"/>
    <x v="2"/>
    <s v="Performance"/>
    <n v="57"/>
    <x v="0"/>
    <s v="Porter, Coleman and Schneider Tesla"/>
  </r>
  <r>
    <s v="S0221"/>
    <s v="CUST0221"/>
    <x v="193"/>
    <x v="1"/>
    <s v="North America"/>
    <x v="9"/>
    <s v="Nagoya"/>
    <n v="5"/>
    <n v="630000"/>
    <x v="0"/>
    <s v="Performance"/>
    <n v="47"/>
    <x v="1"/>
    <s v="Oneill, Keller and Walls Tesla"/>
  </r>
  <r>
    <s v="S0222"/>
    <s v="CUST0222"/>
    <x v="194"/>
    <x v="2"/>
    <s v="North America"/>
    <x v="5"/>
    <s v="San Francisco"/>
    <n v="5"/>
    <n v="420000"/>
    <x v="0"/>
    <s v="Performance"/>
    <n v="17"/>
    <x v="1"/>
    <s v="Torres, Chase and Moon Tesla"/>
  </r>
  <r>
    <s v="S0223"/>
    <s v="CUST0223"/>
    <x v="13"/>
    <x v="1"/>
    <s v="North America"/>
    <x v="1"/>
    <s v="Paris"/>
    <n v="5"/>
    <n v="450000"/>
    <x v="3"/>
    <s v="Standard Range"/>
    <n v="15"/>
    <x v="0"/>
    <s v="Schultz, Stewart and Page Tesla"/>
  </r>
  <r>
    <s v="S0224"/>
    <s v="CUST0224"/>
    <x v="195"/>
    <x v="0"/>
    <s v="Europe"/>
    <x v="1"/>
    <s v="Paris"/>
    <n v="5"/>
    <n v="700000"/>
    <x v="0"/>
    <s v="Performance"/>
    <n v="9"/>
    <x v="1"/>
    <s v="Lee, Diaz and Hampton Tesla"/>
  </r>
  <r>
    <s v="S0225"/>
    <s v="CUST0225"/>
    <x v="196"/>
    <x v="0"/>
    <s v="North America"/>
    <x v="7"/>
    <s v="Melbourne"/>
    <n v="2"/>
    <n v="200000"/>
    <x v="3"/>
    <s v="Standard Range"/>
    <n v="40"/>
    <x v="1"/>
    <s v="Perez PLC Tesla"/>
  </r>
  <r>
    <s v="S0226"/>
    <s v="CUST0226"/>
    <x v="197"/>
    <x v="2"/>
    <s v="Europe"/>
    <x v="3"/>
    <s v="Toronto"/>
    <n v="3"/>
    <n v="180000"/>
    <x v="2"/>
    <s v="Standard Range"/>
    <n v="56"/>
    <x v="0"/>
    <s v="Lewis and Sons Tesla"/>
  </r>
  <r>
    <s v="S0227"/>
    <s v="CUST0227"/>
    <x v="198"/>
    <x v="0"/>
    <s v="Europe"/>
    <x v="9"/>
    <s v="Tokyo"/>
    <n v="1"/>
    <n v="100000"/>
    <x v="1"/>
    <s v="Standard Range"/>
    <n v="54"/>
    <x v="1"/>
    <s v="Norris, Chase and Long Tesla"/>
  </r>
  <r>
    <s v="S0228"/>
    <s v="CUST0228"/>
    <x v="199"/>
    <x v="0"/>
    <s v="Europe"/>
    <x v="7"/>
    <s v="Sydney"/>
    <n v="1"/>
    <n v="120000"/>
    <x v="3"/>
    <s v="Long Range"/>
    <n v="45"/>
    <x v="0"/>
    <s v="Brown, Mooney and Thompson Tesla"/>
  </r>
  <r>
    <s v="S0229"/>
    <s v="CUST0229"/>
    <x v="200"/>
    <x v="0"/>
    <s v="North America"/>
    <x v="2"/>
    <s v="Berlin"/>
    <n v="4"/>
    <n v="480000"/>
    <x v="4"/>
    <s v="Long Range"/>
    <n v="43"/>
    <x v="1"/>
    <s v="Williams, Johnson and Williams Tesla"/>
  </r>
  <r>
    <s v="S0230"/>
    <s v="CUST0230"/>
    <x v="201"/>
    <x v="2"/>
    <s v="Asia"/>
    <x v="2"/>
    <s v="Cologne"/>
    <n v="3"/>
    <n v="252000"/>
    <x v="0"/>
    <s v="Performance"/>
    <n v="36"/>
    <x v="1"/>
    <s v="Case LLC Tesla"/>
  </r>
  <r>
    <s v="S0231"/>
    <s v="CUST0231"/>
    <x v="202"/>
    <x v="0"/>
    <s v="Europe"/>
    <x v="2"/>
    <s v="Cologne"/>
    <n v="3"/>
    <n v="420000"/>
    <x v="4"/>
    <s v="Performance"/>
    <n v="57"/>
    <x v="0"/>
    <s v="Drake-Blair Tesla"/>
  </r>
  <r>
    <s v="S0232"/>
    <s v="CUST0232"/>
    <x v="203"/>
    <x v="0"/>
    <s v="Asia"/>
    <x v="9"/>
    <s v="Yokohama"/>
    <n v="4"/>
    <n v="560000"/>
    <x v="3"/>
    <s v="Performance"/>
    <n v="26"/>
    <x v="1"/>
    <s v="Williams PLC Tesla"/>
  </r>
  <r>
    <s v="S0233"/>
    <s v="CUST0233"/>
    <x v="204"/>
    <x v="0"/>
    <s v="Europe"/>
    <x v="8"/>
    <s v="Beijing"/>
    <n v="2"/>
    <n v="280000"/>
    <x v="4"/>
    <s v="Performance"/>
    <n v="55"/>
    <x v="0"/>
    <s v="Ramirez and Sons Tesla"/>
  </r>
  <r>
    <s v="S0234"/>
    <s v="CUST0234"/>
    <x v="131"/>
    <x v="0"/>
    <s v="Asia"/>
    <x v="2"/>
    <s v="Berlin"/>
    <n v="1"/>
    <n v="120000"/>
    <x v="2"/>
    <s v="Long Range"/>
    <n v="33"/>
    <x v="1"/>
    <s v="Schroeder-Davila Tesla"/>
  </r>
  <r>
    <s v="S0235"/>
    <s v="CUST0235"/>
    <x v="205"/>
    <x v="2"/>
    <s v="Europe"/>
    <x v="7"/>
    <s v="Perth"/>
    <n v="2"/>
    <n v="120000"/>
    <x v="1"/>
    <s v="Standard Range"/>
    <n v="32"/>
    <x v="0"/>
    <s v="Hall-Howell Tesla"/>
  </r>
  <r>
    <s v="S0236"/>
    <s v="CUST0236"/>
    <x v="144"/>
    <x v="2"/>
    <s v="North America"/>
    <x v="7"/>
    <s v="Brisbane"/>
    <n v="1"/>
    <n v="72000"/>
    <x v="3"/>
    <s v="Long Range"/>
    <n v="10"/>
    <x v="1"/>
    <s v="Rocha PLC Tesla"/>
  </r>
  <r>
    <s v="S0237"/>
    <s v="CUST0237"/>
    <x v="8"/>
    <x v="1"/>
    <s v="North America"/>
    <x v="3"/>
    <s v="Toronto"/>
    <n v="2"/>
    <n v="252000"/>
    <x v="1"/>
    <s v="Performance"/>
    <n v="14"/>
    <x v="0"/>
    <s v="Wolfe, Green and Melendez Tesla"/>
  </r>
  <r>
    <s v="S0238"/>
    <s v="CUST0238"/>
    <x v="206"/>
    <x v="2"/>
    <s v="Asia"/>
    <x v="9"/>
    <s v="Sapporo"/>
    <n v="4"/>
    <n v="288000"/>
    <x v="2"/>
    <s v="Long Range"/>
    <n v="21"/>
    <x v="0"/>
    <s v="Taylor, Montoya and Cooper Tesla"/>
  </r>
  <r>
    <s v="S0239"/>
    <s v="CUST0239"/>
    <x v="207"/>
    <x v="1"/>
    <s v="Europe"/>
    <x v="1"/>
    <s v="Toulouse"/>
    <n v="4"/>
    <n v="432000"/>
    <x v="0"/>
    <s v="Long Range"/>
    <n v="57"/>
    <x v="1"/>
    <s v="Jones Group Tesla"/>
  </r>
  <r>
    <s v="S0240"/>
    <s v="CUST0240"/>
    <x v="208"/>
    <x v="0"/>
    <s v="Europe"/>
    <x v="3"/>
    <s v="Ottawa"/>
    <n v="2"/>
    <n v="280000"/>
    <x v="0"/>
    <s v="Performance"/>
    <n v="16"/>
    <x v="0"/>
    <s v="Reyes, Evans and Cook Tesla"/>
  </r>
  <r>
    <s v="S0241"/>
    <s v="CUST0241"/>
    <x v="201"/>
    <x v="3"/>
    <s v="Asia"/>
    <x v="9"/>
    <s v="Osaka"/>
    <n v="4"/>
    <n v="252000"/>
    <x v="4"/>
    <s v="Performance"/>
    <n v="10"/>
    <x v="0"/>
    <s v="Williams, Compton and Velasquez Tesla"/>
  </r>
  <r>
    <s v="S0242"/>
    <s v="CUST0242"/>
    <x v="209"/>
    <x v="2"/>
    <s v="Europe"/>
    <x v="9"/>
    <s v="Sapporo"/>
    <n v="5"/>
    <n v="360000"/>
    <x v="3"/>
    <s v="Long Range"/>
    <n v="16"/>
    <x v="1"/>
    <s v="Reynolds-Wang Tesla"/>
  </r>
  <r>
    <s v="S0243"/>
    <s v="CUST0243"/>
    <x v="12"/>
    <x v="1"/>
    <s v="Asia"/>
    <x v="3"/>
    <s v="Calgary"/>
    <n v="1"/>
    <n v="90000"/>
    <x v="1"/>
    <s v="Standard Range"/>
    <n v="15"/>
    <x v="1"/>
    <s v="Wallace-Green Tesla"/>
  </r>
  <r>
    <s v="S0244"/>
    <s v="CUST0244"/>
    <x v="210"/>
    <x v="0"/>
    <s v="Asia"/>
    <x v="7"/>
    <s v="Sydney"/>
    <n v="4"/>
    <n v="560000"/>
    <x v="1"/>
    <s v="Performance"/>
    <n v="5"/>
    <x v="0"/>
    <s v="Morris, Mejia and Ochoa Tesla"/>
  </r>
  <r>
    <s v="S0245"/>
    <s v="CUST0245"/>
    <x v="211"/>
    <x v="1"/>
    <s v="North America"/>
    <x v="3"/>
    <s v="Toronto"/>
    <n v="4"/>
    <n v="504000"/>
    <x v="4"/>
    <s v="Performance"/>
    <n v="15"/>
    <x v="1"/>
    <s v="Patterson LLC Tesla"/>
  </r>
  <r>
    <s v="S0246"/>
    <s v="CUST0246"/>
    <x v="212"/>
    <x v="3"/>
    <s v="Asia"/>
    <x v="4"/>
    <s v="Fortaleza"/>
    <n v="1"/>
    <n v="54000"/>
    <x v="0"/>
    <s v="Long Range"/>
    <n v="16"/>
    <x v="1"/>
    <s v="Rice-Reeves Tesla"/>
  </r>
  <r>
    <s v="S0247"/>
    <s v="CUST0247"/>
    <x v="213"/>
    <x v="1"/>
    <s v="North America"/>
    <x v="6"/>
    <s v="Manchester"/>
    <n v="1"/>
    <n v="90000"/>
    <x v="2"/>
    <s v="Standard Range"/>
    <n v="34"/>
    <x v="0"/>
    <s v="Cameron-Hughes Tesla"/>
  </r>
  <r>
    <s v="S0248"/>
    <s v="CUST0248"/>
    <x v="214"/>
    <x v="2"/>
    <s v="Asia"/>
    <x v="6"/>
    <s v="Birmingham"/>
    <n v="1"/>
    <n v="84000"/>
    <x v="2"/>
    <s v="Performance"/>
    <n v="50"/>
    <x v="1"/>
    <s v="Anthony Ltd Tesla"/>
  </r>
  <r>
    <s v="S0249"/>
    <s v="CUST0249"/>
    <x v="215"/>
    <x v="2"/>
    <s v="Europe"/>
    <x v="8"/>
    <s v="Beijing"/>
    <n v="2"/>
    <n v="144000"/>
    <x v="1"/>
    <s v="Long Range"/>
    <n v="29"/>
    <x v="0"/>
    <s v="Sanders-Scott Tesla"/>
  </r>
  <r>
    <s v="S0250"/>
    <s v="CUST0250"/>
    <x v="216"/>
    <x v="3"/>
    <s v="North America"/>
    <x v="5"/>
    <s v="Houston"/>
    <n v="1"/>
    <n v="45000"/>
    <x v="3"/>
    <s v="Standard Range"/>
    <n v="16"/>
    <x v="1"/>
    <s v="Stewart-Waller Tesla"/>
  </r>
  <r>
    <s v="S0251"/>
    <s v="CUST0251"/>
    <x v="217"/>
    <x v="1"/>
    <s v="North America"/>
    <x v="0"/>
    <s v="Bangalore"/>
    <n v="2"/>
    <n v="252000"/>
    <x v="1"/>
    <s v="Performance"/>
    <n v="14"/>
    <x v="1"/>
    <s v="Moss-Maldonado Tesla"/>
  </r>
  <r>
    <s v="S0252"/>
    <s v="CUST0252"/>
    <x v="218"/>
    <x v="2"/>
    <s v="Asia"/>
    <x v="6"/>
    <s v="Liverpool"/>
    <n v="1"/>
    <n v="72000"/>
    <x v="2"/>
    <s v="Long Range"/>
    <n v="14"/>
    <x v="1"/>
    <s v="Johnson Inc Tesla"/>
  </r>
  <r>
    <s v="S0253"/>
    <s v="CUST0253"/>
    <x v="219"/>
    <x v="1"/>
    <s v="North America"/>
    <x v="0"/>
    <s v="Delhi"/>
    <n v="4"/>
    <n v="432000"/>
    <x v="0"/>
    <s v="Long Range"/>
    <n v="17"/>
    <x v="0"/>
    <s v="Jacobs, Wright and Burke Tesla"/>
  </r>
  <r>
    <s v="S0254"/>
    <s v="CUST0254"/>
    <x v="220"/>
    <x v="0"/>
    <s v="Asia"/>
    <x v="6"/>
    <s v="Birmingham"/>
    <n v="5"/>
    <n v="700000"/>
    <x v="3"/>
    <s v="Performance"/>
    <n v="20"/>
    <x v="1"/>
    <s v="Humphrey, Gomez and Cox Tesla"/>
  </r>
  <r>
    <s v="S0255"/>
    <s v="CUST0255"/>
    <x v="221"/>
    <x v="0"/>
    <s v="North America"/>
    <x v="4"/>
    <s v="Salvador"/>
    <n v="3"/>
    <n v="300000"/>
    <x v="1"/>
    <s v="Standard Range"/>
    <n v="35"/>
    <x v="0"/>
    <s v="Carpenter-Moore Tesla"/>
  </r>
  <r>
    <s v="S0256"/>
    <s v="CUST0256"/>
    <x v="36"/>
    <x v="2"/>
    <s v="Asia"/>
    <x v="7"/>
    <s v="Sydney"/>
    <n v="4"/>
    <n v="240000"/>
    <x v="4"/>
    <s v="Standard Range"/>
    <n v="51"/>
    <x v="0"/>
    <s v="Reynolds LLC Tesla"/>
  </r>
  <r>
    <s v="S0257"/>
    <s v="CUST0257"/>
    <x v="222"/>
    <x v="2"/>
    <s v="Asia"/>
    <x v="7"/>
    <s v="Adelaide"/>
    <n v="4"/>
    <n v="240000"/>
    <x v="0"/>
    <s v="Standard Range"/>
    <n v="52"/>
    <x v="0"/>
    <s v="Reese Ltd Tesla"/>
  </r>
  <r>
    <s v="S0258"/>
    <s v="CUST0258"/>
    <x v="223"/>
    <x v="0"/>
    <s v="North America"/>
    <x v="0"/>
    <s v="Bangalore"/>
    <n v="2"/>
    <n v="280000"/>
    <x v="2"/>
    <s v="Performance"/>
    <n v="39"/>
    <x v="1"/>
    <s v="Porter, Berry and Jones Tesla"/>
  </r>
  <r>
    <s v="S0259"/>
    <s v="CUST0259"/>
    <x v="224"/>
    <x v="2"/>
    <s v="North America"/>
    <x v="5"/>
    <s v="Houston"/>
    <n v="4"/>
    <n v="240000"/>
    <x v="1"/>
    <s v="Standard Range"/>
    <n v="57"/>
    <x v="1"/>
    <s v="Acevedo LLC Tesla"/>
  </r>
  <r>
    <s v="S0260"/>
    <s v="CUST0260"/>
    <x v="150"/>
    <x v="0"/>
    <s v="Asia"/>
    <x v="6"/>
    <s v="Manchester"/>
    <n v="3"/>
    <n v="300000"/>
    <x v="2"/>
    <s v="Standard Range"/>
    <n v="18"/>
    <x v="1"/>
    <s v="Martin, Garrett and Patel Tesla"/>
  </r>
  <r>
    <s v="S0261"/>
    <s v="CUST0261"/>
    <x v="225"/>
    <x v="1"/>
    <s v="Europe"/>
    <x v="9"/>
    <s v="Osaka"/>
    <n v="3"/>
    <n v="324000"/>
    <x v="4"/>
    <s v="Long Range"/>
    <n v="42"/>
    <x v="1"/>
    <s v="Wise-Martin Tesla"/>
  </r>
  <r>
    <s v="S0262"/>
    <s v="CUST0262"/>
    <x v="181"/>
    <x v="0"/>
    <s v="Europe"/>
    <x v="0"/>
    <s v="Hyderabad"/>
    <n v="2"/>
    <n v="280000"/>
    <x v="2"/>
    <s v="Performance"/>
    <n v="6"/>
    <x v="1"/>
    <s v="Martin LLC Tesla"/>
  </r>
  <r>
    <s v="S0263"/>
    <s v="CUST0263"/>
    <x v="226"/>
    <x v="0"/>
    <s v="Asia"/>
    <x v="4"/>
    <s v="SÃ£o Paulo"/>
    <n v="3"/>
    <n v="300000"/>
    <x v="1"/>
    <s v="Standard Range"/>
    <n v="29"/>
    <x v="0"/>
    <s v="Garrison Ltd Tesla"/>
  </r>
  <r>
    <s v="S0264"/>
    <s v="CUST0264"/>
    <x v="189"/>
    <x v="1"/>
    <s v="Asia"/>
    <x v="6"/>
    <s v="Manchester"/>
    <n v="2"/>
    <n v="252000"/>
    <x v="3"/>
    <s v="Performance"/>
    <n v="38"/>
    <x v="1"/>
    <s v="Morrow-Horton Tesla"/>
  </r>
  <r>
    <s v="S0265"/>
    <s v="CUST0265"/>
    <x v="22"/>
    <x v="0"/>
    <s v="North America"/>
    <x v="9"/>
    <s v="Tokyo"/>
    <n v="1"/>
    <n v="100000"/>
    <x v="0"/>
    <s v="Standard Range"/>
    <n v="46"/>
    <x v="1"/>
    <s v="Owens Group Tesla"/>
  </r>
  <r>
    <s v="S0266"/>
    <s v="CUST0266"/>
    <x v="227"/>
    <x v="2"/>
    <s v="Asia"/>
    <x v="7"/>
    <s v="Brisbane"/>
    <n v="1"/>
    <n v="84000"/>
    <x v="0"/>
    <s v="Performance"/>
    <n v="17"/>
    <x v="0"/>
    <s v="Clay-Richards Tesla"/>
  </r>
  <r>
    <s v="S0267"/>
    <s v="CUST0267"/>
    <x v="228"/>
    <x v="2"/>
    <s v="North America"/>
    <x v="3"/>
    <s v="Montreal"/>
    <n v="3"/>
    <n v="216000"/>
    <x v="0"/>
    <s v="Long Range"/>
    <n v="53"/>
    <x v="0"/>
    <s v="Hurst, Myers and Ross Tesla"/>
  </r>
  <r>
    <s v="S0268"/>
    <s v="CUST0268"/>
    <x v="229"/>
    <x v="0"/>
    <s v="Asia"/>
    <x v="7"/>
    <s v="Sydney"/>
    <n v="1"/>
    <n v="140000"/>
    <x v="2"/>
    <s v="Performance"/>
    <n v="6"/>
    <x v="0"/>
    <s v="Anderson-Jones Tesla"/>
  </r>
  <r>
    <s v="S0269"/>
    <s v="CUST0269"/>
    <x v="230"/>
    <x v="0"/>
    <s v="Asia"/>
    <x v="3"/>
    <s v="Montreal"/>
    <n v="3"/>
    <n v="300000"/>
    <x v="2"/>
    <s v="Standard Range"/>
    <n v="38"/>
    <x v="1"/>
    <s v="Davidson LLC Tesla"/>
  </r>
  <r>
    <s v="S0270"/>
    <s v="CUST0270"/>
    <x v="60"/>
    <x v="2"/>
    <s v="Asia"/>
    <x v="1"/>
    <s v="Toulouse"/>
    <n v="1"/>
    <n v="72000"/>
    <x v="3"/>
    <s v="Long Range"/>
    <n v="9"/>
    <x v="0"/>
    <s v="Rodriguez-Ruiz Tesla"/>
  </r>
  <r>
    <s v="S0271"/>
    <s v="CUST0271"/>
    <x v="231"/>
    <x v="3"/>
    <s v="Europe"/>
    <x v="2"/>
    <s v="Berlin"/>
    <n v="5"/>
    <n v="225000"/>
    <x v="4"/>
    <s v="Standard Range"/>
    <n v="36"/>
    <x v="1"/>
    <s v="Jones Ltd Tesla"/>
  </r>
  <r>
    <s v="S0272"/>
    <s v="CUST0272"/>
    <x v="232"/>
    <x v="3"/>
    <s v="Asia"/>
    <x v="4"/>
    <s v="Rio de Janeiro"/>
    <n v="4"/>
    <n v="252000"/>
    <x v="2"/>
    <s v="Performance"/>
    <n v="38"/>
    <x v="1"/>
    <s v="Dean, King and Chambers Tesla"/>
  </r>
  <r>
    <s v="S0273"/>
    <s v="CUST0273"/>
    <x v="184"/>
    <x v="3"/>
    <s v="North America"/>
    <x v="6"/>
    <s v="Birmingham"/>
    <n v="3"/>
    <n v="189000"/>
    <x v="3"/>
    <s v="Performance"/>
    <n v="12"/>
    <x v="0"/>
    <s v="Conway, Howe and Gordon Tesla"/>
  </r>
  <r>
    <s v="S0274"/>
    <s v="CUST0274"/>
    <x v="233"/>
    <x v="2"/>
    <s v="North America"/>
    <x v="1"/>
    <s v="Toulouse"/>
    <n v="4"/>
    <n v="336000"/>
    <x v="3"/>
    <s v="Performance"/>
    <n v="42"/>
    <x v="1"/>
    <s v="Welch PLC Tesla"/>
  </r>
  <r>
    <s v="S0275"/>
    <s v="CUST0275"/>
    <x v="198"/>
    <x v="2"/>
    <s v="Europe"/>
    <x v="2"/>
    <s v="Frankfurt"/>
    <n v="2"/>
    <n v="144000"/>
    <x v="3"/>
    <s v="Long Range"/>
    <n v="39"/>
    <x v="0"/>
    <s v="Guzman, Stafford and Brady Tesla"/>
  </r>
  <r>
    <s v="S0276"/>
    <s v="CUST0276"/>
    <x v="234"/>
    <x v="1"/>
    <s v="Europe"/>
    <x v="9"/>
    <s v="Yokohama"/>
    <n v="3"/>
    <n v="378000"/>
    <x v="2"/>
    <s v="Performance"/>
    <n v="36"/>
    <x v="0"/>
    <s v="Hawkins, Butler and Hughes Tesla"/>
  </r>
  <r>
    <s v="S0277"/>
    <s v="CUST0277"/>
    <x v="235"/>
    <x v="3"/>
    <s v="Asia"/>
    <x v="3"/>
    <s v="Toronto"/>
    <n v="4"/>
    <n v="252000"/>
    <x v="0"/>
    <s v="Performance"/>
    <n v="16"/>
    <x v="0"/>
    <s v="Fox, Daniels and Stevenson Tesla"/>
  </r>
  <r>
    <s v="S0278"/>
    <s v="CUST0278"/>
    <x v="236"/>
    <x v="3"/>
    <s v="North America"/>
    <x v="8"/>
    <s v="Beijing"/>
    <n v="1"/>
    <n v="63000"/>
    <x v="3"/>
    <s v="Performance"/>
    <n v="9"/>
    <x v="0"/>
    <s v="Stein, Clarke and Tucker Tesla"/>
  </r>
  <r>
    <s v="S0279"/>
    <s v="CUST0279"/>
    <x v="237"/>
    <x v="0"/>
    <s v="Europe"/>
    <x v="0"/>
    <s v="Chennai"/>
    <n v="3"/>
    <n v="360000"/>
    <x v="1"/>
    <s v="Long Range"/>
    <n v="35"/>
    <x v="1"/>
    <s v="Gates-Tanner Tesla"/>
  </r>
  <r>
    <s v="S0280"/>
    <s v="CUST0280"/>
    <x v="238"/>
    <x v="1"/>
    <s v="Europe"/>
    <x v="6"/>
    <s v="Manchester"/>
    <n v="3"/>
    <n v="324000"/>
    <x v="1"/>
    <s v="Long Range"/>
    <n v="48"/>
    <x v="1"/>
    <s v="Mckay Ltd Tesla"/>
  </r>
  <r>
    <s v="S0281"/>
    <s v="CUST0281"/>
    <x v="239"/>
    <x v="0"/>
    <s v="Europe"/>
    <x v="0"/>
    <s v="Mumbai"/>
    <n v="2"/>
    <n v="200000"/>
    <x v="1"/>
    <s v="Standard Range"/>
    <n v="11"/>
    <x v="0"/>
    <s v="Moore LLC Tesla"/>
  </r>
  <r>
    <s v="S0282"/>
    <s v="CUST0282"/>
    <x v="240"/>
    <x v="2"/>
    <s v="Asia"/>
    <x v="4"/>
    <s v="Rio de Janeiro"/>
    <n v="3"/>
    <n v="216000"/>
    <x v="0"/>
    <s v="Long Range"/>
    <n v="36"/>
    <x v="0"/>
    <s v="Flores-Whitaker Tesla"/>
  </r>
  <r>
    <s v="S0283"/>
    <s v="CUST0283"/>
    <x v="241"/>
    <x v="1"/>
    <s v="North America"/>
    <x v="0"/>
    <s v="Delhi"/>
    <n v="4"/>
    <n v="504000"/>
    <x v="0"/>
    <s v="Performance"/>
    <n v="21"/>
    <x v="1"/>
    <s v="Hansen Group Tesla"/>
  </r>
  <r>
    <s v="S0284"/>
    <s v="CUST0284"/>
    <x v="0"/>
    <x v="2"/>
    <s v="Europe"/>
    <x v="3"/>
    <s v="Vancouver"/>
    <n v="3"/>
    <n v="180000"/>
    <x v="0"/>
    <s v="Standard Range"/>
    <n v="46"/>
    <x v="0"/>
    <s v="Brady PLC Tesla"/>
  </r>
  <r>
    <s v="S0285"/>
    <s v="CUST0285"/>
    <x v="242"/>
    <x v="0"/>
    <s v="Europe"/>
    <x v="3"/>
    <s v="Calgary"/>
    <n v="4"/>
    <n v="480000"/>
    <x v="3"/>
    <s v="Long Range"/>
    <n v="9"/>
    <x v="0"/>
    <s v="Jordan Inc Tesla"/>
  </r>
  <r>
    <s v="S0286"/>
    <s v="CUST0286"/>
    <x v="243"/>
    <x v="2"/>
    <s v="Europe"/>
    <x v="5"/>
    <s v="Chicago"/>
    <n v="4"/>
    <n v="336000"/>
    <x v="4"/>
    <s v="Performance"/>
    <n v="27"/>
    <x v="0"/>
    <s v="Miller-Moon Tesla"/>
  </r>
  <r>
    <s v="S0287"/>
    <s v="CUST0287"/>
    <x v="244"/>
    <x v="3"/>
    <s v="North America"/>
    <x v="7"/>
    <s v="Sydney"/>
    <n v="1"/>
    <n v="45000"/>
    <x v="0"/>
    <s v="Standard Range"/>
    <n v="59"/>
    <x v="1"/>
    <s v="Casey and Sons Tesla"/>
  </r>
  <r>
    <s v="S0288"/>
    <s v="CUST0288"/>
    <x v="245"/>
    <x v="0"/>
    <s v="Asia"/>
    <x v="3"/>
    <s v="Ottawa"/>
    <n v="3"/>
    <n v="300000"/>
    <x v="4"/>
    <s v="Standard Range"/>
    <n v="26"/>
    <x v="1"/>
    <s v="Werner Group Tesla"/>
  </r>
  <r>
    <s v="S0289"/>
    <s v="CUST0289"/>
    <x v="246"/>
    <x v="1"/>
    <s v="North America"/>
    <x v="8"/>
    <s v="Shenzhen"/>
    <n v="5"/>
    <n v="540000"/>
    <x v="1"/>
    <s v="Long Range"/>
    <n v="10"/>
    <x v="1"/>
    <s v="Smith and Sons Tesla"/>
  </r>
  <r>
    <s v="S0290"/>
    <s v="CUST0290"/>
    <x v="247"/>
    <x v="2"/>
    <s v="Europe"/>
    <x v="3"/>
    <s v="Calgary"/>
    <n v="5"/>
    <n v="300000"/>
    <x v="4"/>
    <s v="Standard Range"/>
    <n v="58"/>
    <x v="1"/>
    <s v="Brennan Group Tesla"/>
  </r>
  <r>
    <s v="S0291"/>
    <s v="CUST0291"/>
    <x v="248"/>
    <x v="1"/>
    <s v="Europe"/>
    <x v="7"/>
    <s v="Perth"/>
    <n v="1"/>
    <n v="126000"/>
    <x v="2"/>
    <s v="Performance"/>
    <n v="28"/>
    <x v="0"/>
    <s v="Bowman, Powers and Day Tesla"/>
  </r>
  <r>
    <s v="S0292"/>
    <s v="CUST0292"/>
    <x v="220"/>
    <x v="0"/>
    <s v="Europe"/>
    <x v="9"/>
    <s v="Sapporo"/>
    <n v="1"/>
    <n v="120000"/>
    <x v="1"/>
    <s v="Long Range"/>
    <n v="40"/>
    <x v="1"/>
    <s v="Snyder LLC Tesla"/>
  </r>
  <r>
    <s v="S0293"/>
    <s v="CUST0293"/>
    <x v="249"/>
    <x v="0"/>
    <s v="North America"/>
    <x v="5"/>
    <s v="Los Angeles"/>
    <n v="1"/>
    <n v="100000"/>
    <x v="1"/>
    <s v="Standard Range"/>
    <n v="23"/>
    <x v="0"/>
    <s v="Mccarthy Ltd Tesla"/>
  </r>
  <r>
    <s v="S0294"/>
    <s v="CUST0294"/>
    <x v="250"/>
    <x v="0"/>
    <s v="Europe"/>
    <x v="0"/>
    <s v="Mumbai"/>
    <n v="1"/>
    <n v="120000"/>
    <x v="2"/>
    <s v="Long Range"/>
    <n v="24"/>
    <x v="1"/>
    <s v="Perry, Cooper and Hess Tesla"/>
  </r>
  <r>
    <s v="S0295"/>
    <s v="CUST0295"/>
    <x v="217"/>
    <x v="1"/>
    <s v="Europe"/>
    <x v="1"/>
    <s v="Lyon"/>
    <n v="5"/>
    <n v="450000"/>
    <x v="3"/>
    <s v="Standard Range"/>
    <n v="45"/>
    <x v="1"/>
    <s v="Butler, Contreras and Kelley Tesla"/>
  </r>
  <r>
    <s v="S0296"/>
    <s v="CUST0296"/>
    <x v="251"/>
    <x v="1"/>
    <s v="Asia"/>
    <x v="5"/>
    <s v="Los Angeles"/>
    <n v="2"/>
    <n v="180000"/>
    <x v="0"/>
    <s v="Standard Range"/>
    <n v="27"/>
    <x v="0"/>
    <s v="Perkins Ltd Tesla"/>
  </r>
  <r>
    <s v="S0297"/>
    <s v="CUST0297"/>
    <x v="252"/>
    <x v="0"/>
    <s v="North America"/>
    <x v="7"/>
    <s v="Perth"/>
    <n v="2"/>
    <n v="280000"/>
    <x v="1"/>
    <s v="Performance"/>
    <n v="50"/>
    <x v="1"/>
    <s v="Allison-Davis Tesla"/>
  </r>
  <r>
    <s v="S0298"/>
    <s v="CUST0298"/>
    <x v="212"/>
    <x v="3"/>
    <s v="Europe"/>
    <x v="9"/>
    <s v="Sapporo"/>
    <n v="3"/>
    <n v="189000"/>
    <x v="2"/>
    <s v="Performance"/>
    <n v="59"/>
    <x v="1"/>
    <s v="Harris PLC Tesla"/>
  </r>
  <r>
    <s v="S0299"/>
    <s v="CUST0299"/>
    <x v="245"/>
    <x v="0"/>
    <s v="North America"/>
    <x v="2"/>
    <s v="Berlin"/>
    <n v="4"/>
    <n v="480000"/>
    <x v="1"/>
    <s v="Long Range"/>
    <n v="55"/>
    <x v="1"/>
    <s v="Higgins Ltd Tesla"/>
  </r>
  <r>
    <s v="S0300"/>
    <s v="CUST0300"/>
    <x v="253"/>
    <x v="1"/>
    <s v="North America"/>
    <x v="1"/>
    <s v="Paris"/>
    <n v="4"/>
    <n v="360000"/>
    <x v="0"/>
    <s v="Standard Range"/>
    <n v="9"/>
    <x v="1"/>
    <s v="Church, Collier and Humphrey Tesla"/>
  </r>
  <r>
    <s v="S0301"/>
    <s v="CUST0301"/>
    <x v="254"/>
    <x v="3"/>
    <s v="Europe"/>
    <x v="5"/>
    <s v="New York"/>
    <n v="5"/>
    <n v="315000"/>
    <x v="1"/>
    <s v="Performance"/>
    <n v="20"/>
    <x v="0"/>
    <s v="Todd, Schroeder and Dorsey Tesla"/>
  </r>
  <r>
    <s v="S0302"/>
    <s v="CUST0302"/>
    <x v="255"/>
    <x v="3"/>
    <s v="North America"/>
    <x v="4"/>
    <s v="Salvador"/>
    <n v="1"/>
    <n v="63000"/>
    <x v="4"/>
    <s v="Performance"/>
    <n v="39"/>
    <x v="0"/>
    <s v="Branch, Bennett and Ewing Tesla"/>
  </r>
  <r>
    <s v="S0303"/>
    <s v="CUST0303"/>
    <x v="256"/>
    <x v="3"/>
    <s v="Asia"/>
    <x v="0"/>
    <s v="Hyderabad"/>
    <n v="5"/>
    <n v="270000"/>
    <x v="0"/>
    <s v="Long Range"/>
    <n v="8"/>
    <x v="0"/>
    <s v="Hunt, Rivas and Warren Tesla"/>
  </r>
  <r>
    <s v="S0304"/>
    <s v="CUST0304"/>
    <x v="109"/>
    <x v="0"/>
    <s v="Europe"/>
    <x v="1"/>
    <s v="Nice"/>
    <n v="4"/>
    <n v="480000"/>
    <x v="1"/>
    <s v="Long Range"/>
    <n v="45"/>
    <x v="1"/>
    <s v="Carlson, Sampson and Hopkins Tesla"/>
  </r>
  <r>
    <s v="S0305"/>
    <s v="CUST0305"/>
    <x v="54"/>
    <x v="2"/>
    <s v="Europe"/>
    <x v="8"/>
    <s v="Shanghai"/>
    <n v="4"/>
    <n v="288000"/>
    <x v="1"/>
    <s v="Long Range"/>
    <n v="53"/>
    <x v="1"/>
    <s v="Gonzalez LLC Tesla"/>
  </r>
  <r>
    <s v="S0306"/>
    <s v="CUST0306"/>
    <x v="92"/>
    <x v="0"/>
    <s v="Europe"/>
    <x v="2"/>
    <s v="Munich"/>
    <n v="1"/>
    <n v="140000"/>
    <x v="4"/>
    <s v="Performance"/>
    <n v="53"/>
    <x v="1"/>
    <s v="Arellano LLC Tesla"/>
  </r>
  <r>
    <s v="S0307"/>
    <s v="CUST0307"/>
    <x v="236"/>
    <x v="0"/>
    <s v="North America"/>
    <x v="2"/>
    <s v="Munich"/>
    <n v="1"/>
    <n v="100000"/>
    <x v="2"/>
    <s v="Standard Range"/>
    <n v="19"/>
    <x v="0"/>
    <s v="Welch Group Tesla"/>
  </r>
  <r>
    <s v="S0308"/>
    <s v="CUST0308"/>
    <x v="257"/>
    <x v="1"/>
    <s v="Europe"/>
    <x v="6"/>
    <s v="Leeds"/>
    <n v="1"/>
    <n v="90000"/>
    <x v="0"/>
    <s v="Standard Range"/>
    <n v="10"/>
    <x v="0"/>
    <s v="Silva PLC Tesla"/>
  </r>
  <r>
    <s v="S0309"/>
    <s v="CUST0309"/>
    <x v="258"/>
    <x v="1"/>
    <s v="Europe"/>
    <x v="1"/>
    <s v="Lyon"/>
    <n v="4"/>
    <n v="360000"/>
    <x v="1"/>
    <s v="Standard Range"/>
    <n v="17"/>
    <x v="0"/>
    <s v="Jones-Guerra Tesla"/>
  </r>
  <r>
    <s v="S0310"/>
    <s v="CUST0310"/>
    <x v="184"/>
    <x v="2"/>
    <s v="North America"/>
    <x v="7"/>
    <s v="Adelaide"/>
    <n v="5"/>
    <n v="420000"/>
    <x v="3"/>
    <s v="Performance"/>
    <n v="18"/>
    <x v="1"/>
    <s v="Bentley-Kent Tesla"/>
  </r>
  <r>
    <s v="S0311"/>
    <s v="CUST0311"/>
    <x v="259"/>
    <x v="2"/>
    <s v="Europe"/>
    <x v="3"/>
    <s v="Montreal"/>
    <n v="1"/>
    <n v="84000"/>
    <x v="3"/>
    <s v="Performance"/>
    <n v="52"/>
    <x v="0"/>
    <s v="Robbins LLC Tesla"/>
  </r>
  <r>
    <s v="S0312"/>
    <s v="CUST0312"/>
    <x v="244"/>
    <x v="0"/>
    <s v="Asia"/>
    <x v="0"/>
    <s v="Mumbai"/>
    <n v="5"/>
    <n v="700000"/>
    <x v="1"/>
    <s v="Performance"/>
    <n v="36"/>
    <x v="1"/>
    <s v="Soto-Lopez Tesla"/>
  </r>
  <r>
    <s v="S0313"/>
    <s v="CUST0313"/>
    <x v="260"/>
    <x v="2"/>
    <s v="Europe"/>
    <x v="2"/>
    <s v="Frankfurt"/>
    <n v="1"/>
    <n v="84000"/>
    <x v="0"/>
    <s v="Performance"/>
    <n v="60"/>
    <x v="1"/>
    <s v="Foster, Massey and Schaefer Tesla"/>
  </r>
  <r>
    <s v="S0314"/>
    <s v="CUST0314"/>
    <x v="261"/>
    <x v="3"/>
    <s v="Europe"/>
    <x v="6"/>
    <s v="Manchester"/>
    <n v="3"/>
    <n v="189000"/>
    <x v="0"/>
    <s v="Performance"/>
    <n v="34"/>
    <x v="1"/>
    <s v="Clark-Ryan Tesla"/>
  </r>
  <r>
    <s v="S0315"/>
    <s v="CUST0315"/>
    <x v="262"/>
    <x v="2"/>
    <s v="North America"/>
    <x v="7"/>
    <s v="Perth"/>
    <n v="3"/>
    <n v="216000"/>
    <x v="3"/>
    <s v="Long Range"/>
    <n v="28"/>
    <x v="0"/>
    <s v="Jackson-Roberts Tesla"/>
  </r>
  <r>
    <s v="S0316"/>
    <s v="CUST0316"/>
    <x v="0"/>
    <x v="2"/>
    <s v="Europe"/>
    <x v="1"/>
    <s v="Toulouse"/>
    <n v="2"/>
    <n v="144000"/>
    <x v="3"/>
    <s v="Long Range"/>
    <n v="7"/>
    <x v="1"/>
    <s v="Sanchez-Medina Tesla"/>
  </r>
  <r>
    <s v="S0317"/>
    <s v="CUST0317"/>
    <x v="263"/>
    <x v="0"/>
    <s v="Europe"/>
    <x v="9"/>
    <s v="Yokohama"/>
    <n v="2"/>
    <n v="200000"/>
    <x v="3"/>
    <s v="Standard Range"/>
    <n v="56"/>
    <x v="1"/>
    <s v="Richardson-Gilbert Tesla"/>
  </r>
  <r>
    <s v="S0318"/>
    <s v="CUST0318"/>
    <x v="264"/>
    <x v="2"/>
    <s v="Asia"/>
    <x v="1"/>
    <s v="Toulouse"/>
    <n v="4"/>
    <n v="240000"/>
    <x v="3"/>
    <s v="Standard Range"/>
    <n v="34"/>
    <x v="1"/>
    <s v="Raymond-Garcia Tesla"/>
  </r>
  <r>
    <s v="S0319"/>
    <s v="CUST0319"/>
    <x v="265"/>
    <x v="3"/>
    <s v="Europe"/>
    <x v="2"/>
    <s v="Hamburg"/>
    <n v="4"/>
    <n v="216000"/>
    <x v="3"/>
    <s v="Long Range"/>
    <n v="52"/>
    <x v="0"/>
    <s v="Kelley and Sons Tesla"/>
  </r>
  <r>
    <s v="S0320"/>
    <s v="CUST0320"/>
    <x v="266"/>
    <x v="1"/>
    <s v="Asia"/>
    <x v="3"/>
    <s v="Montreal"/>
    <n v="2"/>
    <n v="180000"/>
    <x v="4"/>
    <s v="Standard Range"/>
    <n v="28"/>
    <x v="0"/>
    <s v="Macdonald-Patel Tesla"/>
  </r>
  <r>
    <s v="S0321"/>
    <s v="CUST0321"/>
    <x v="6"/>
    <x v="0"/>
    <s v="Asia"/>
    <x v="8"/>
    <s v="Shanghai"/>
    <n v="3"/>
    <n v="300000"/>
    <x v="3"/>
    <s v="Standard Range"/>
    <n v="18"/>
    <x v="1"/>
    <s v="Serrano-Jones Tesla"/>
  </r>
  <r>
    <s v="S0322"/>
    <s v="CUST0322"/>
    <x v="267"/>
    <x v="0"/>
    <s v="Europe"/>
    <x v="7"/>
    <s v="Sydney"/>
    <n v="3"/>
    <n v="420000"/>
    <x v="0"/>
    <s v="Performance"/>
    <n v="11"/>
    <x v="0"/>
    <s v="Hill, Rollins and Page Tesla"/>
  </r>
  <r>
    <s v="S0323"/>
    <s v="CUST0323"/>
    <x v="268"/>
    <x v="2"/>
    <s v="North America"/>
    <x v="9"/>
    <s v="Osaka"/>
    <n v="4"/>
    <n v="240000"/>
    <x v="0"/>
    <s v="Standard Range"/>
    <n v="56"/>
    <x v="0"/>
    <s v="Griffin-Edwards Tesla"/>
  </r>
  <r>
    <s v="S0324"/>
    <s v="CUST0324"/>
    <x v="213"/>
    <x v="1"/>
    <s v="Asia"/>
    <x v="5"/>
    <s v="New York"/>
    <n v="1"/>
    <n v="108000"/>
    <x v="1"/>
    <s v="Long Range"/>
    <n v="12"/>
    <x v="0"/>
    <s v="Odom Group Tesla"/>
  </r>
  <r>
    <s v="S0325"/>
    <s v="CUST0325"/>
    <x v="269"/>
    <x v="1"/>
    <s v="North America"/>
    <x v="6"/>
    <s v="Birmingham"/>
    <n v="5"/>
    <n v="540000"/>
    <x v="4"/>
    <s v="Long Range"/>
    <n v="14"/>
    <x v="1"/>
    <s v="Fletcher, Fischer and Hart Tesla"/>
  </r>
  <r>
    <s v="S0326"/>
    <s v="CUST0326"/>
    <x v="270"/>
    <x v="2"/>
    <s v="Europe"/>
    <x v="5"/>
    <s v="Chicago"/>
    <n v="2"/>
    <n v="120000"/>
    <x v="2"/>
    <s v="Standard Range"/>
    <n v="7"/>
    <x v="0"/>
    <s v="Lewis-Rowe Tesla"/>
  </r>
  <r>
    <s v="S0327"/>
    <s v="CUST0327"/>
    <x v="271"/>
    <x v="3"/>
    <s v="Europe"/>
    <x v="4"/>
    <s v="Salvador"/>
    <n v="2"/>
    <n v="108000"/>
    <x v="1"/>
    <s v="Long Range"/>
    <n v="48"/>
    <x v="1"/>
    <s v="Coleman, Nelson and Keith Tesla"/>
  </r>
  <r>
    <s v="S0328"/>
    <s v="CUST0328"/>
    <x v="224"/>
    <x v="2"/>
    <s v="North America"/>
    <x v="7"/>
    <s v="Adelaide"/>
    <n v="5"/>
    <n v="360000"/>
    <x v="4"/>
    <s v="Long Range"/>
    <n v="48"/>
    <x v="1"/>
    <s v="Schmitt Inc Tesla"/>
  </r>
  <r>
    <s v="S0329"/>
    <s v="CUST0329"/>
    <x v="272"/>
    <x v="1"/>
    <s v="Asia"/>
    <x v="9"/>
    <s v="Nagoya"/>
    <n v="3"/>
    <n v="324000"/>
    <x v="0"/>
    <s v="Long Range"/>
    <n v="41"/>
    <x v="0"/>
    <s v="Mejia, Jones and Townsend Tesla"/>
  </r>
  <r>
    <s v="S0330"/>
    <s v="CUST0330"/>
    <x v="273"/>
    <x v="3"/>
    <s v="Asia"/>
    <x v="0"/>
    <s v="Bangalore"/>
    <n v="3"/>
    <n v="162000"/>
    <x v="1"/>
    <s v="Long Range"/>
    <n v="32"/>
    <x v="0"/>
    <s v="Hardin, Khan and Glass Tesla"/>
  </r>
  <r>
    <s v="S0331"/>
    <s v="CUST0331"/>
    <x v="274"/>
    <x v="3"/>
    <s v="Europe"/>
    <x v="3"/>
    <s v="Toronto"/>
    <n v="5"/>
    <n v="225000"/>
    <x v="2"/>
    <s v="Standard Range"/>
    <n v="20"/>
    <x v="1"/>
    <s v="Powell and Sons Tesla"/>
  </r>
  <r>
    <s v="S0332"/>
    <s v="CUST0332"/>
    <x v="138"/>
    <x v="0"/>
    <s v="Asia"/>
    <x v="1"/>
    <s v="Paris"/>
    <n v="5"/>
    <n v="700000"/>
    <x v="4"/>
    <s v="Performance"/>
    <n v="27"/>
    <x v="1"/>
    <s v="Mcdonald, Cortez and Duncan Tesla"/>
  </r>
  <r>
    <s v="S0333"/>
    <s v="CUST0333"/>
    <x v="275"/>
    <x v="1"/>
    <s v="North America"/>
    <x v="4"/>
    <s v="Salvador"/>
    <n v="5"/>
    <n v="630000"/>
    <x v="4"/>
    <s v="Performance"/>
    <n v="48"/>
    <x v="0"/>
    <s v="Doyle-Murphy Tesla"/>
  </r>
  <r>
    <s v="S0334"/>
    <s v="CUST0334"/>
    <x v="276"/>
    <x v="0"/>
    <s v="Asia"/>
    <x v="5"/>
    <s v="Los Angeles"/>
    <n v="4"/>
    <n v="400000"/>
    <x v="4"/>
    <s v="Standard Range"/>
    <n v="19"/>
    <x v="1"/>
    <s v="Wright-Carter Tesla"/>
  </r>
  <r>
    <s v="S0335"/>
    <s v="CUST0335"/>
    <x v="277"/>
    <x v="3"/>
    <s v="Europe"/>
    <x v="9"/>
    <s v="Sapporo"/>
    <n v="4"/>
    <n v="180000"/>
    <x v="0"/>
    <s v="Standard Range"/>
    <n v="43"/>
    <x v="1"/>
    <s v="White, Duncan and Sampson Tesla"/>
  </r>
  <r>
    <s v="S0336"/>
    <s v="CUST0336"/>
    <x v="16"/>
    <x v="1"/>
    <s v="North America"/>
    <x v="5"/>
    <s v="San Francisco"/>
    <n v="4"/>
    <n v="432000"/>
    <x v="3"/>
    <s v="Long Range"/>
    <n v="37"/>
    <x v="0"/>
    <s v="Castaneda PLC Tesla"/>
  </r>
  <r>
    <s v="S0337"/>
    <s v="CUST0337"/>
    <x v="278"/>
    <x v="2"/>
    <s v="Asia"/>
    <x v="6"/>
    <s v="Manchester"/>
    <n v="2"/>
    <n v="120000"/>
    <x v="4"/>
    <s v="Standard Range"/>
    <n v="6"/>
    <x v="1"/>
    <s v="White Group Tesla"/>
  </r>
  <r>
    <s v="S0338"/>
    <s v="CUST0338"/>
    <x v="279"/>
    <x v="2"/>
    <s v="Europe"/>
    <x v="7"/>
    <s v="Adelaide"/>
    <n v="2"/>
    <n v="144000"/>
    <x v="2"/>
    <s v="Long Range"/>
    <n v="29"/>
    <x v="0"/>
    <s v="Garcia-Lawson Tesla"/>
  </r>
  <r>
    <s v="S0339"/>
    <s v="CUST0339"/>
    <x v="280"/>
    <x v="0"/>
    <s v="North America"/>
    <x v="6"/>
    <s v="Manchester"/>
    <n v="1"/>
    <n v="140000"/>
    <x v="1"/>
    <s v="Performance"/>
    <n v="42"/>
    <x v="0"/>
    <s v="Spence, Wu and Singleton Tesla"/>
  </r>
  <r>
    <s v="S0340"/>
    <s v="CUST0340"/>
    <x v="241"/>
    <x v="2"/>
    <s v="Europe"/>
    <x v="8"/>
    <s v="Chengdu"/>
    <n v="1"/>
    <n v="60000"/>
    <x v="2"/>
    <s v="Standard Range"/>
    <n v="42"/>
    <x v="0"/>
    <s v="Taylor LLC Tesla"/>
  </r>
  <r>
    <s v="S0341"/>
    <s v="CUST0341"/>
    <x v="281"/>
    <x v="2"/>
    <s v="North America"/>
    <x v="9"/>
    <s v="Tokyo"/>
    <n v="2"/>
    <n v="144000"/>
    <x v="4"/>
    <s v="Long Range"/>
    <n v="16"/>
    <x v="1"/>
    <s v="Johnson, Lucas and Simmons Tesla"/>
  </r>
  <r>
    <s v="S0342"/>
    <s v="CUST0342"/>
    <x v="136"/>
    <x v="0"/>
    <s v="North America"/>
    <x v="6"/>
    <s v="Manchester"/>
    <n v="2"/>
    <n v="280000"/>
    <x v="3"/>
    <s v="Performance"/>
    <n v="36"/>
    <x v="1"/>
    <s v="Meyer and Sons Tesla"/>
  </r>
  <r>
    <s v="S0343"/>
    <s v="CUST0343"/>
    <x v="157"/>
    <x v="0"/>
    <s v="Europe"/>
    <x v="7"/>
    <s v="Melbourne"/>
    <n v="2"/>
    <n v="200000"/>
    <x v="0"/>
    <s v="Standard Range"/>
    <n v="33"/>
    <x v="0"/>
    <s v="Hunter-Mcmahon Tesla"/>
  </r>
  <r>
    <s v="S0344"/>
    <s v="CUST0344"/>
    <x v="282"/>
    <x v="3"/>
    <s v="Asia"/>
    <x v="9"/>
    <s v="Sapporo"/>
    <n v="2"/>
    <n v="90000"/>
    <x v="3"/>
    <s v="Standard Range"/>
    <n v="59"/>
    <x v="1"/>
    <s v="Scott Inc Tesla"/>
  </r>
  <r>
    <s v="S0345"/>
    <s v="CUST0345"/>
    <x v="283"/>
    <x v="2"/>
    <s v="Asia"/>
    <x v="7"/>
    <s v="Adelaide"/>
    <n v="5"/>
    <n v="360000"/>
    <x v="3"/>
    <s v="Long Range"/>
    <n v="22"/>
    <x v="1"/>
    <s v="Thomas-Stanley Tesla"/>
  </r>
  <r>
    <s v="S0346"/>
    <s v="CUST0346"/>
    <x v="284"/>
    <x v="2"/>
    <s v="Europe"/>
    <x v="5"/>
    <s v="Chicago"/>
    <n v="3"/>
    <n v="180000"/>
    <x v="1"/>
    <s v="Standard Range"/>
    <n v="34"/>
    <x v="0"/>
    <s v="Green-Carroll Tesla"/>
  </r>
  <r>
    <s v="S0347"/>
    <s v="CUST0347"/>
    <x v="40"/>
    <x v="0"/>
    <s v="Europe"/>
    <x v="4"/>
    <s v="SÃ£o Paulo"/>
    <n v="4"/>
    <n v="480000"/>
    <x v="4"/>
    <s v="Long Range"/>
    <n v="23"/>
    <x v="1"/>
    <s v="Moore-Hall Tesla"/>
  </r>
  <r>
    <s v="S0348"/>
    <s v="CUST0348"/>
    <x v="271"/>
    <x v="2"/>
    <s v="North America"/>
    <x v="1"/>
    <s v="Nice"/>
    <n v="2"/>
    <n v="168000"/>
    <x v="2"/>
    <s v="Performance"/>
    <n v="39"/>
    <x v="1"/>
    <s v="Hall, Simmons and Webster Tesla"/>
  </r>
  <r>
    <s v="S0349"/>
    <s v="CUST0349"/>
    <x v="186"/>
    <x v="3"/>
    <s v="Europe"/>
    <x v="2"/>
    <s v="Hamburg"/>
    <n v="1"/>
    <n v="63000"/>
    <x v="1"/>
    <s v="Performance"/>
    <n v="23"/>
    <x v="1"/>
    <s v="Mosley-Perkins Tesla"/>
  </r>
  <r>
    <s v="S0350"/>
    <s v="CUST0350"/>
    <x v="152"/>
    <x v="2"/>
    <s v="North America"/>
    <x v="7"/>
    <s v="Adelaide"/>
    <n v="4"/>
    <n v="288000"/>
    <x v="0"/>
    <s v="Long Range"/>
    <n v="31"/>
    <x v="1"/>
    <s v="Hughes-Kim Tesla"/>
  </r>
  <r>
    <s v="S0351"/>
    <s v="CUST0351"/>
    <x v="285"/>
    <x v="3"/>
    <s v="North America"/>
    <x v="2"/>
    <s v="Frankfurt"/>
    <n v="4"/>
    <n v="216000"/>
    <x v="2"/>
    <s v="Long Range"/>
    <n v="11"/>
    <x v="0"/>
    <s v="Robertson-Leonard Tesla"/>
  </r>
  <r>
    <s v="S0352"/>
    <s v="CUST0352"/>
    <x v="25"/>
    <x v="0"/>
    <s v="Europe"/>
    <x v="1"/>
    <s v="Toulouse"/>
    <n v="5"/>
    <n v="500000"/>
    <x v="2"/>
    <s v="Standard Range"/>
    <n v="21"/>
    <x v="1"/>
    <s v="Hill, Lee and Ford Tesla"/>
  </r>
  <r>
    <s v="S0353"/>
    <s v="CUST0353"/>
    <x v="158"/>
    <x v="2"/>
    <s v="Asia"/>
    <x v="4"/>
    <s v="SÃ£o Paulo"/>
    <n v="2"/>
    <n v="144000"/>
    <x v="3"/>
    <s v="Long Range"/>
    <n v="25"/>
    <x v="1"/>
    <s v="Noble, Jordan and Daniels Tesla"/>
  </r>
  <r>
    <s v="S0354"/>
    <s v="CUST0354"/>
    <x v="286"/>
    <x v="0"/>
    <s v="Europe"/>
    <x v="9"/>
    <s v="Tokyo"/>
    <n v="1"/>
    <n v="140000"/>
    <x v="1"/>
    <s v="Performance"/>
    <n v="7"/>
    <x v="1"/>
    <s v="Dunn LLC Tesla"/>
  </r>
  <r>
    <s v="S0355"/>
    <s v="CUST0355"/>
    <x v="287"/>
    <x v="1"/>
    <s v="Asia"/>
    <x v="4"/>
    <s v="Fortaleza"/>
    <n v="2"/>
    <n v="252000"/>
    <x v="1"/>
    <s v="Performance"/>
    <n v="42"/>
    <x v="0"/>
    <s v="Foster, Montoya and Adams Tesla"/>
  </r>
  <r>
    <s v="S0356"/>
    <s v="CUST0356"/>
    <x v="288"/>
    <x v="1"/>
    <s v="North America"/>
    <x v="1"/>
    <s v="Marseille"/>
    <n v="2"/>
    <n v="216000"/>
    <x v="4"/>
    <s v="Long Range"/>
    <n v="38"/>
    <x v="1"/>
    <s v="Lane, Hubbard and Ramsey Tesla"/>
  </r>
  <r>
    <s v="S0357"/>
    <s v="CUST0357"/>
    <x v="289"/>
    <x v="0"/>
    <s v="Europe"/>
    <x v="9"/>
    <s v="Osaka"/>
    <n v="2"/>
    <n v="240000"/>
    <x v="0"/>
    <s v="Long Range"/>
    <n v="11"/>
    <x v="1"/>
    <s v="Montgomery and Sons Tesla"/>
  </r>
  <r>
    <s v="S0358"/>
    <s v="CUST0358"/>
    <x v="193"/>
    <x v="3"/>
    <s v="Europe"/>
    <x v="7"/>
    <s v="Sydney"/>
    <n v="5"/>
    <n v="270000"/>
    <x v="2"/>
    <s v="Long Range"/>
    <n v="37"/>
    <x v="0"/>
    <s v="Davis Ltd Tesla"/>
  </r>
  <r>
    <s v="S0359"/>
    <s v="CUST0359"/>
    <x v="234"/>
    <x v="2"/>
    <s v="Europe"/>
    <x v="2"/>
    <s v="Frankfurt"/>
    <n v="4"/>
    <n v="240000"/>
    <x v="3"/>
    <s v="Standard Range"/>
    <n v="53"/>
    <x v="0"/>
    <s v="Norris-Fitzpatrick Tesla"/>
  </r>
  <r>
    <s v="S0360"/>
    <s v="CUST0360"/>
    <x v="290"/>
    <x v="2"/>
    <s v="Asia"/>
    <x v="8"/>
    <s v="Chengdu"/>
    <n v="5"/>
    <n v="300000"/>
    <x v="3"/>
    <s v="Standard Range"/>
    <n v="50"/>
    <x v="0"/>
    <s v="Lopez LLC Tesla"/>
  </r>
  <r>
    <s v="S0361"/>
    <s v="CUST0361"/>
    <x v="291"/>
    <x v="1"/>
    <s v="North America"/>
    <x v="7"/>
    <s v="Sydney"/>
    <n v="3"/>
    <n v="270000"/>
    <x v="2"/>
    <s v="Standard Range"/>
    <n v="39"/>
    <x v="1"/>
    <s v="Juarez PLC Tesla"/>
  </r>
  <r>
    <s v="S0362"/>
    <s v="CUST0362"/>
    <x v="35"/>
    <x v="2"/>
    <s v="North America"/>
    <x v="4"/>
    <s v="SÃ£o Paulo"/>
    <n v="1"/>
    <n v="72000"/>
    <x v="4"/>
    <s v="Long Range"/>
    <n v="40"/>
    <x v="1"/>
    <s v="Franklin, Smith and Smith Tesla"/>
  </r>
  <r>
    <s v="S0363"/>
    <s v="CUST0363"/>
    <x v="292"/>
    <x v="0"/>
    <s v="Asia"/>
    <x v="5"/>
    <s v="Chicago"/>
    <n v="4"/>
    <n v="480000"/>
    <x v="3"/>
    <s v="Long Range"/>
    <n v="28"/>
    <x v="0"/>
    <s v="Morse PLC Tesla"/>
  </r>
  <r>
    <s v="S0364"/>
    <s v="CUST0364"/>
    <x v="293"/>
    <x v="0"/>
    <s v="Europe"/>
    <x v="1"/>
    <s v="Marseille"/>
    <n v="3"/>
    <n v="300000"/>
    <x v="0"/>
    <s v="Standard Range"/>
    <n v="56"/>
    <x v="1"/>
    <s v="Curtis-Strong Tesla"/>
  </r>
  <r>
    <s v="S0365"/>
    <s v="CUST0365"/>
    <x v="294"/>
    <x v="1"/>
    <s v="North America"/>
    <x v="5"/>
    <s v="New York"/>
    <n v="4"/>
    <n v="504000"/>
    <x v="0"/>
    <s v="Performance"/>
    <n v="50"/>
    <x v="1"/>
    <s v="Leon, Porter and Hernandez Tesla"/>
  </r>
  <r>
    <s v="S0366"/>
    <s v="CUST0366"/>
    <x v="295"/>
    <x v="1"/>
    <s v="Asia"/>
    <x v="9"/>
    <s v="Yokohama"/>
    <n v="3"/>
    <n v="324000"/>
    <x v="3"/>
    <s v="Long Range"/>
    <n v="6"/>
    <x v="1"/>
    <s v="Brown-Cohen Tesla"/>
  </r>
  <r>
    <s v="S0367"/>
    <s v="CUST0367"/>
    <x v="296"/>
    <x v="0"/>
    <s v="Europe"/>
    <x v="7"/>
    <s v="Brisbane"/>
    <n v="4"/>
    <n v="480000"/>
    <x v="3"/>
    <s v="Long Range"/>
    <n v="8"/>
    <x v="1"/>
    <s v="Randall-Hernandez Tesla"/>
  </r>
  <r>
    <s v="S0368"/>
    <s v="CUST0368"/>
    <x v="5"/>
    <x v="3"/>
    <s v="Asia"/>
    <x v="6"/>
    <s v="Leeds"/>
    <n v="3"/>
    <n v="189000"/>
    <x v="1"/>
    <s v="Performance"/>
    <n v="22"/>
    <x v="0"/>
    <s v="Daugherty-Fuller Tesla"/>
  </r>
  <r>
    <s v="S0369"/>
    <s v="CUST0369"/>
    <x v="297"/>
    <x v="0"/>
    <s v="Asia"/>
    <x v="3"/>
    <s v="Ottawa"/>
    <n v="3"/>
    <n v="360000"/>
    <x v="3"/>
    <s v="Long Range"/>
    <n v="50"/>
    <x v="0"/>
    <s v="Allen-Edwards Tesla"/>
  </r>
  <r>
    <s v="S0370"/>
    <s v="CUST0370"/>
    <x v="298"/>
    <x v="2"/>
    <s v="North America"/>
    <x v="8"/>
    <s v="Beijing"/>
    <n v="2"/>
    <n v="120000"/>
    <x v="1"/>
    <s v="Standard Range"/>
    <n v="53"/>
    <x v="0"/>
    <s v="Smith-Rogers Tesla"/>
  </r>
  <r>
    <s v="S0371"/>
    <s v="CUST0371"/>
    <x v="131"/>
    <x v="2"/>
    <s v="Asia"/>
    <x v="1"/>
    <s v="Paris"/>
    <n v="4"/>
    <n v="240000"/>
    <x v="4"/>
    <s v="Standard Range"/>
    <n v="24"/>
    <x v="1"/>
    <s v="Tyler-Gregory Tesla"/>
  </r>
  <r>
    <s v="S0372"/>
    <s v="CUST0372"/>
    <x v="118"/>
    <x v="3"/>
    <s v="Europe"/>
    <x v="8"/>
    <s v="Guangzhou"/>
    <n v="2"/>
    <n v="90000"/>
    <x v="1"/>
    <s v="Standard Range"/>
    <n v="45"/>
    <x v="1"/>
    <s v="Jones-Wallace Tesla"/>
  </r>
  <r>
    <s v="S0373"/>
    <s v="CUST0373"/>
    <x v="175"/>
    <x v="0"/>
    <s v="North America"/>
    <x v="9"/>
    <s v="Yokohama"/>
    <n v="2"/>
    <n v="280000"/>
    <x v="4"/>
    <s v="Performance"/>
    <n v="15"/>
    <x v="1"/>
    <s v="Johnson-Davis Tesla"/>
  </r>
  <r>
    <s v="S0374"/>
    <s v="CUST0374"/>
    <x v="145"/>
    <x v="0"/>
    <s v="Europe"/>
    <x v="3"/>
    <s v="Ottawa"/>
    <n v="1"/>
    <n v="100000"/>
    <x v="2"/>
    <s v="Standard Range"/>
    <n v="12"/>
    <x v="1"/>
    <s v="Shepherd, Graham and Baker Tesla"/>
  </r>
  <r>
    <s v="S0375"/>
    <s v="CUST0375"/>
    <x v="6"/>
    <x v="1"/>
    <s v="Europe"/>
    <x v="8"/>
    <s v="Shenzhen"/>
    <n v="1"/>
    <n v="90000"/>
    <x v="4"/>
    <s v="Standard Range"/>
    <n v="33"/>
    <x v="0"/>
    <s v="Jordan-Wall Tesla"/>
  </r>
  <r>
    <s v="S0376"/>
    <s v="CUST0376"/>
    <x v="299"/>
    <x v="3"/>
    <s v="Europe"/>
    <x v="8"/>
    <s v="Shanghai"/>
    <n v="3"/>
    <n v="162000"/>
    <x v="2"/>
    <s v="Long Range"/>
    <n v="14"/>
    <x v="0"/>
    <s v="Collins, Jones and Brennan Tesla"/>
  </r>
  <r>
    <s v="S0377"/>
    <s v="CUST0377"/>
    <x v="46"/>
    <x v="3"/>
    <s v="Europe"/>
    <x v="2"/>
    <s v="Berlin"/>
    <n v="2"/>
    <n v="126000"/>
    <x v="4"/>
    <s v="Performance"/>
    <n v="34"/>
    <x v="0"/>
    <s v="Nelson Inc Tesla"/>
  </r>
  <r>
    <s v="S0378"/>
    <s v="CUST0378"/>
    <x v="300"/>
    <x v="0"/>
    <s v="North America"/>
    <x v="1"/>
    <s v="Lyon"/>
    <n v="3"/>
    <n v="420000"/>
    <x v="4"/>
    <s v="Performance"/>
    <n v="54"/>
    <x v="1"/>
    <s v="Potter, Barnes and Barnett Tesla"/>
  </r>
  <r>
    <s v="S0379"/>
    <s v="CUST0379"/>
    <x v="301"/>
    <x v="3"/>
    <s v="Europe"/>
    <x v="1"/>
    <s v="Lyon"/>
    <n v="1"/>
    <n v="54000"/>
    <x v="2"/>
    <s v="Long Range"/>
    <n v="55"/>
    <x v="0"/>
    <s v="Johnson-Cooper Tesla"/>
  </r>
  <r>
    <s v="S0380"/>
    <s v="CUST0380"/>
    <x v="37"/>
    <x v="2"/>
    <s v="North America"/>
    <x v="4"/>
    <s v="Rio de Janeiro"/>
    <n v="2"/>
    <n v="168000"/>
    <x v="1"/>
    <s v="Performance"/>
    <n v="21"/>
    <x v="1"/>
    <s v="Kelley-Dixon Tesla"/>
  </r>
  <r>
    <s v="S0381"/>
    <s v="CUST0381"/>
    <x v="280"/>
    <x v="1"/>
    <s v="Europe"/>
    <x v="9"/>
    <s v="Osaka"/>
    <n v="3"/>
    <n v="324000"/>
    <x v="3"/>
    <s v="Long Range"/>
    <n v="22"/>
    <x v="1"/>
    <s v="Walters-Soto Tesla"/>
  </r>
  <r>
    <s v="S0382"/>
    <s v="CUST0382"/>
    <x v="197"/>
    <x v="1"/>
    <s v="Asia"/>
    <x v="9"/>
    <s v="Tokyo"/>
    <n v="1"/>
    <n v="126000"/>
    <x v="3"/>
    <s v="Performance"/>
    <n v="29"/>
    <x v="1"/>
    <s v="Freeman and Sons Tesla"/>
  </r>
  <r>
    <s v="S0383"/>
    <s v="CUST0383"/>
    <x v="302"/>
    <x v="3"/>
    <s v="Asia"/>
    <x v="5"/>
    <s v="New York"/>
    <n v="5"/>
    <n v="270000"/>
    <x v="3"/>
    <s v="Long Range"/>
    <n v="8"/>
    <x v="1"/>
    <s v="Cook-Black Tesla"/>
  </r>
  <r>
    <s v="S0384"/>
    <s v="CUST0384"/>
    <x v="303"/>
    <x v="1"/>
    <s v="Europe"/>
    <x v="3"/>
    <s v="Montreal"/>
    <n v="5"/>
    <n v="630000"/>
    <x v="3"/>
    <s v="Performance"/>
    <n v="59"/>
    <x v="0"/>
    <s v="Gonzalez Group Tesla"/>
  </r>
  <r>
    <s v="S0385"/>
    <s v="CUST0385"/>
    <x v="304"/>
    <x v="3"/>
    <s v="North America"/>
    <x v="0"/>
    <s v="Delhi"/>
    <n v="4"/>
    <n v="216000"/>
    <x v="3"/>
    <s v="Long Range"/>
    <n v="29"/>
    <x v="1"/>
    <s v="Morris PLC Tesla"/>
  </r>
  <r>
    <s v="S0386"/>
    <s v="CUST0386"/>
    <x v="228"/>
    <x v="3"/>
    <s v="Europe"/>
    <x v="1"/>
    <s v="Marseille"/>
    <n v="3"/>
    <n v="135000"/>
    <x v="0"/>
    <s v="Standard Range"/>
    <n v="44"/>
    <x v="1"/>
    <s v="Nelson-Townsend Tesla"/>
  </r>
  <r>
    <s v="S0387"/>
    <s v="CUST0387"/>
    <x v="299"/>
    <x v="2"/>
    <s v="Asia"/>
    <x v="5"/>
    <s v="Los Angeles"/>
    <n v="4"/>
    <n v="240000"/>
    <x v="4"/>
    <s v="Standard Range"/>
    <n v="59"/>
    <x v="1"/>
    <s v="Romero, Garcia and Alvarado Tesla"/>
  </r>
  <r>
    <s v="S0388"/>
    <s v="CUST0388"/>
    <x v="305"/>
    <x v="1"/>
    <s v="Asia"/>
    <x v="6"/>
    <s v="Leeds"/>
    <n v="3"/>
    <n v="270000"/>
    <x v="1"/>
    <s v="Standard Range"/>
    <n v="51"/>
    <x v="1"/>
    <s v="Parker Inc Tesla"/>
  </r>
  <r>
    <s v="S0389"/>
    <s v="CUST0389"/>
    <x v="306"/>
    <x v="0"/>
    <s v="Asia"/>
    <x v="6"/>
    <s v="Manchester"/>
    <n v="2"/>
    <n v="200000"/>
    <x v="2"/>
    <s v="Standard Range"/>
    <n v="38"/>
    <x v="1"/>
    <s v="Alvarado, Chan and Holt Tesla"/>
  </r>
  <r>
    <s v="S0390"/>
    <s v="CUST0390"/>
    <x v="307"/>
    <x v="3"/>
    <s v="Asia"/>
    <x v="1"/>
    <s v="Marseille"/>
    <n v="3"/>
    <n v="162000"/>
    <x v="1"/>
    <s v="Long Range"/>
    <n v="44"/>
    <x v="1"/>
    <s v="Clarke PLC Tesla"/>
  </r>
  <r>
    <s v="S0391"/>
    <s v="CUST0391"/>
    <x v="308"/>
    <x v="3"/>
    <s v="Asia"/>
    <x v="0"/>
    <s v="Chennai"/>
    <n v="5"/>
    <n v="315000"/>
    <x v="1"/>
    <s v="Performance"/>
    <n v="36"/>
    <x v="1"/>
    <s v="Mullins LLC Tesla"/>
  </r>
  <r>
    <s v="S0392"/>
    <s v="CUST0392"/>
    <x v="309"/>
    <x v="0"/>
    <s v="Asia"/>
    <x v="8"/>
    <s v="Beijing"/>
    <n v="4"/>
    <n v="480000"/>
    <x v="0"/>
    <s v="Long Range"/>
    <n v="54"/>
    <x v="1"/>
    <s v="Phelps PLC Tesla"/>
  </r>
  <r>
    <s v="S0393"/>
    <s v="CUST0393"/>
    <x v="238"/>
    <x v="3"/>
    <s v="North America"/>
    <x v="3"/>
    <s v="Montreal"/>
    <n v="1"/>
    <n v="45000"/>
    <x v="0"/>
    <s v="Standard Range"/>
    <n v="9"/>
    <x v="1"/>
    <s v="Mason-Andrews Tesla"/>
  </r>
  <r>
    <s v="S0394"/>
    <s v="CUST0394"/>
    <x v="310"/>
    <x v="1"/>
    <s v="Asia"/>
    <x v="4"/>
    <s v="BrasÃ­lia"/>
    <n v="2"/>
    <n v="252000"/>
    <x v="3"/>
    <s v="Performance"/>
    <n v="6"/>
    <x v="0"/>
    <s v="Bailey-Garrett Tesla"/>
  </r>
  <r>
    <s v="S0395"/>
    <s v="CUST0395"/>
    <x v="311"/>
    <x v="1"/>
    <s v="North America"/>
    <x v="3"/>
    <s v="Toronto"/>
    <n v="1"/>
    <n v="108000"/>
    <x v="1"/>
    <s v="Long Range"/>
    <n v="23"/>
    <x v="0"/>
    <s v="Griffin LLC Tesla"/>
  </r>
  <r>
    <s v="S0396"/>
    <s v="CUST0396"/>
    <x v="147"/>
    <x v="2"/>
    <s v="Asia"/>
    <x v="6"/>
    <s v="Leeds"/>
    <n v="2"/>
    <n v="120000"/>
    <x v="1"/>
    <s v="Standard Range"/>
    <n v="24"/>
    <x v="0"/>
    <s v="Carlson, Morgan and Martin Tesla"/>
  </r>
  <r>
    <s v="S0397"/>
    <s v="CUST0397"/>
    <x v="312"/>
    <x v="3"/>
    <s v="North America"/>
    <x v="1"/>
    <s v="Marseille"/>
    <n v="4"/>
    <n v="252000"/>
    <x v="2"/>
    <s v="Performance"/>
    <n v="41"/>
    <x v="0"/>
    <s v="Mcdaniel-Price Tesla"/>
  </r>
  <r>
    <s v="S0398"/>
    <s v="CUST0398"/>
    <x v="313"/>
    <x v="2"/>
    <s v="Europe"/>
    <x v="4"/>
    <s v="Salvador"/>
    <n v="5"/>
    <n v="420000"/>
    <x v="1"/>
    <s v="Performance"/>
    <n v="12"/>
    <x v="1"/>
    <s v="Sutton, King and Perry Tesla"/>
  </r>
  <r>
    <s v="S0399"/>
    <s v="CUST0399"/>
    <x v="300"/>
    <x v="1"/>
    <s v="North America"/>
    <x v="1"/>
    <s v="Paris"/>
    <n v="2"/>
    <n v="216000"/>
    <x v="1"/>
    <s v="Long Range"/>
    <n v="13"/>
    <x v="1"/>
    <s v="Jones, Diaz and Landry Tesla"/>
  </r>
  <r>
    <s v="S0400"/>
    <s v="CUST0400"/>
    <x v="161"/>
    <x v="3"/>
    <s v="Europe"/>
    <x v="9"/>
    <s v="Tokyo"/>
    <n v="3"/>
    <n v="189000"/>
    <x v="3"/>
    <s v="Performance"/>
    <n v="7"/>
    <x v="0"/>
    <s v="Hunter Inc Tesla"/>
  </r>
  <r>
    <s v="S0401"/>
    <s v="CUST0401"/>
    <x v="112"/>
    <x v="1"/>
    <s v="Asia"/>
    <x v="9"/>
    <s v="Osaka"/>
    <n v="2"/>
    <n v="216000"/>
    <x v="2"/>
    <s v="Long Range"/>
    <n v="35"/>
    <x v="1"/>
    <s v="Foley, Harper and Waller Tesla"/>
  </r>
  <r>
    <s v="S0402"/>
    <s v="CUST0402"/>
    <x v="314"/>
    <x v="1"/>
    <s v="North America"/>
    <x v="1"/>
    <s v="Paris"/>
    <n v="2"/>
    <n v="180000"/>
    <x v="0"/>
    <s v="Standard Range"/>
    <n v="20"/>
    <x v="1"/>
    <s v="Lucas, Reid and Hernandez Tesla"/>
  </r>
  <r>
    <s v="S0403"/>
    <s v="CUST0403"/>
    <x v="315"/>
    <x v="2"/>
    <s v="Europe"/>
    <x v="4"/>
    <s v="Rio de Janeiro"/>
    <n v="3"/>
    <n v="180000"/>
    <x v="1"/>
    <s v="Standard Range"/>
    <n v="41"/>
    <x v="0"/>
    <s v="Frederick LLC Tesla"/>
  </r>
  <r>
    <s v="S0404"/>
    <s v="CUST0404"/>
    <x v="316"/>
    <x v="1"/>
    <s v="Asia"/>
    <x v="2"/>
    <s v="Hamburg"/>
    <n v="3"/>
    <n v="270000"/>
    <x v="4"/>
    <s v="Standard Range"/>
    <n v="47"/>
    <x v="0"/>
    <s v="Brown, Adams and Gutierrez Tesla"/>
  </r>
  <r>
    <s v="S0405"/>
    <s v="CUST0405"/>
    <x v="196"/>
    <x v="3"/>
    <s v="North America"/>
    <x v="6"/>
    <s v="London"/>
    <n v="5"/>
    <n v="315000"/>
    <x v="2"/>
    <s v="Performance"/>
    <n v="5"/>
    <x v="1"/>
    <s v="Bautista, Smith and Young Tesla"/>
  </r>
  <r>
    <s v="S0406"/>
    <s v="CUST0406"/>
    <x v="163"/>
    <x v="0"/>
    <s v="Europe"/>
    <x v="3"/>
    <s v="Ottawa"/>
    <n v="4"/>
    <n v="400000"/>
    <x v="2"/>
    <s v="Standard Range"/>
    <n v="18"/>
    <x v="1"/>
    <s v="Rivera, Owens and Contreras Tesla"/>
  </r>
  <r>
    <s v="S0407"/>
    <s v="CUST0407"/>
    <x v="230"/>
    <x v="2"/>
    <s v="Europe"/>
    <x v="1"/>
    <s v="Toulouse"/>
    <n v="4"/>
    <n v="288000"/>
    <x v="2"/>
    <s v="Long Range"/>
    <n v="24"/>
    <x v="0"/>
    <s v="Christensen, Torres and Taylor Tesla"/>
  </r>
  <r>
    <s v="S0408"/>
    <s v="CUST0408"/>
    <x v="268"/>
    <x v="0"/>
    <s v="North America"/>
    <x v="6"/>
    <s v="Manchester"/>
    <n v="2"/>
    <n v="240000"/>
    <x v="0"/>
    <s v="Long Range"/>
    <n v="26"/>
    <x v="0"/>
    <s v="Schneider-Snow Tesla"/>
  </r>
  <r>
    <s v="S0409"/>
    <s v="CUST0409"/>
    <x v="317"/>
    <x v="2"/>
    <s v="Asia"/>
    <x v="7"/>
    <s v="Adelaide"/>
    <n v="4"/>
    <n v="288000"/>
    <x v="2"/>
    <s v="Long Range"/>
    <n v="37"/>
    <x v="0"/>
    <s v="Brown, Brown and Medina Tesla"/>
  </r>
  <r>
    <s v="S0410"/>
    <s v="CUST0410"/>
    <x v="318"/>
    <x v="3"/>
    <s v="Asia"/>
    <x v="8"/>
    <s v="Shenzhen"/>
    <n v="4"/>
    <n v="252000"/>
    <x v="4"/>
    <s v="Performance"/>
    <n v="55"/>
    <x v="0"/>
    <s v="Payne Inc Tesla"/>
  </r>
  <r>
    <s v="S0411"/>
    <s v="CUST0411"/>
    <x v="10"/>
    <x v="0"/>
    <s v="North America"/>
    <x v="5"/>
    <s v="Los Angeles"/>
    <n v="4"/>
    <n v="560000"/>
    <x v="0"/>
    <s v="Performance"/>
    <n v="27"/>
    <x v="1"/>
    <s v="Mcpherson, Lee and Clay Tesla"/>
  </r>
  <r>
    <s v="S0412"/>
    <s v="CUST0412"/>
    <x v="319"/>
    <x v="0"/>
    <s v="Europe"/>
    <x v="1"/>
    <s v="Nice"/>
    <n v="2"/>
    <n v="200000"/>
    <x v="1"/>
    <s v="Standard Range"/>
    <n v="58"/>
    <x v="0"/>
    <s v="Fischer, Gonzales and Johnson Tesla"/>
  </r>
  <r>
    <s v="S0413"/>
    <s v="CUST0413"/>
    <x v="99"/>
    <x v="3"/>
    <s v="Europe"/>
    <x v="5"/>
    <s v="San Francisco"/>
    <n v="5"/>
    <n v="225000"/>
    <x v="4"/>
    <s v="Standard Range"/>
    <n v="44"/>
    <x v="1"/>
    <s v="Williams and Sons Tesla"/>
  </r>
  <r>
    <s v="S0414"/>
    <s v="CUST0414"/>
    <x v="139"/>
    <x v="0"/>
    <s v="North America"/>
    <x v="0"/>
    <s v="Mumbai"/>
    <n v="2"/>
    <n v="200000"/>
    <x v="3"/>
    <s v="Standard Range"/>
    <n v="47"/>
    <x v="1"/>
    <s v="Myers-Dean Tesla"/>
  </r>
  <r>
    <s v="S0415"/>
    <s v="CUST0415"/>
    <x v="320"/>
    <x v="2"/>
    <s v="Asia"/>
    <x v="6"/>
    <s v="Liverpool"/>
    <n v="5"/>
    <n v="300000"/>
    <x v="1"/>
    <s v="Standard Range"/>
    <n v="44"/>
    <x v="1"/>
    <s v="Jones Inc Tesla"/>
  </r>
  <r>
    <s v="S0416"/>
    <s v="CUST0416"/>
    <x v="321"/>
    <x v="3"/>
    <s v="North America"/>
    <x v="4"/>
    <s v="Rio de Janeiro"/>
    <n v="4"/>
    <n v="216000"/>
    <x v="0"/>
    <s v="Long Range"/>
    <n v="34"/>
    <x v="1"/>
    <s v="Foster Group Tesla"/>
  </r>
  <r>
    <s v="S0417"/>
    <s v="CUST0417"/>
    <x v="322"/>
    <x v="1"/>
    <s v="Europe"/>
    <x v="4"/>
    <s v="Salvador"/>
    <n v="1"/>
    <n v="108000"/>
    <x v="4"/>
    <s v="Long Range"/>
    <n v="40"/>
    <x v="1"/>
    <s v="Webb Ltd Tesla"/>
  </r>
  <r>
    <s v="S0418"/>
    <s v="CUST0418"/>
    <x v="323"/>
    <x v="1"/>
    <s v="North America"/>
    <x v="1"/>
    <s v="Marseille"/>
    <n v="2"/>
    <n v="180000"/>
    <x v="3"/>
    <s v="Standard Range"/>
    <n v="26"/>
    <x v="0"/>
    <s v="Dixon LLC Tesla"/>
  </r>
  <r>
    <s v="S0419"/>
    <s v="CUST0419"/>
    <x v="324"/>
    <x v="3"/>
    <s v="Asia"/>
    <x v="3"/>
    <s v="Toronto"/>
    <n v="1"/>
    <n v="63000"/>
    <x v="1"/>
    <s v="Performance"/>
    <n v="43"/>
    <x v="0"/>
    <s v="Cook, Smith and Smith Tesla"/>
  </r>
  <r>
    <s v="S0420"/>
    <s v="CUST0420"/>
    <x v="313"/>
    <x v="3"/>
    <s v="North America"/>
    <x v="9"/>
    <s v="Sapporo"/>
    <n v="4"/>
    <n v="180000"/>
    <x v="1"/>
    <s v="Standard Range"/>
    <n v="10"/>
    <x v="0"/>
    <s v="Spears, Coleman and Jackson Tesla"/>
  </r>
  <r>
    <s v="S0421"/>
    <s v="CUST0421"/>
    <x v="325"/>
    <x v="3"/>
    <s v="Asia"/>
    <x v="0"/>
    <s v="Chennai"/>
    <n v="1"/>
    <n v="63000"/>
    <x v="2"/>
    <s v="Performance"/>
    <n v="37"/>
    <x v="0"/>
    <s v="Mayo Inc Tesla"/>
  </r>
  <r>
    <s v="S0422"/>
    <s v="CUST0422"/>
    <x v="326"/>
    <x v="3"/>
    <s v="Europe"/>
    <x v="8"/>
    <s v="Beijing"/>
    <n v="4"/>
    <n v="252000"/>
    <x v="0"/>
    <s v="Performance"/>
    <n v="9"/>
    <x v="0"/>
    <s v="Wagner Inc Tesla"/>
  </r>
  <r>
    <s v="S0423"/>
    <s v="CUST0423"/>
    <x v="327"/>
    <x v="1"/>
    <s v="Europe"/>
    <x v="1"/>
    <s v="Nice"/>
    <n v="5"/>
    <n v="630000"/>
    <x v="1"/>
    <s v="Performance"/>
    <n v="22"/>
    <x v="1"/>
    <s v="Jackson-Collins Tesla"/>
  </r>
  <r>
    <s v="S0424"/>
    <s v="CUST0424"/>
    <x v="328"/>
    <x v="1"/>
    <s v="Europe"/>
    <x v="0"/>
    <s v="Delhi"/>
    <n v="2"/>
    <n v="216000"/>
    <x v="0"/>
    <s v="Long Range"/>
    <n v="44"/>
    <x v="1"/>
    <s v="Wilson, Sosa and Jensen Tesla"/>
  </r>
  <r>
    <s v="S0425"/>
    <s v="CUST0425"/>
    <x v="329"/>
    <x v="2"/>
    <s v="Europe"/>
    <x v="9"/>
    <s v="Nagoya"/>
    <n v="2"/>
    <n v="144000"/>
    <x v="4"/>
    <s v="Long Range"/>
    <n v="31"/>
    <x v="1"/>
    <s v="Davis-Moore Tesla"/>
  </r>
  <r>
    <s v="S0426"/>
    <s v="CUST0426"/>
    <x v="330"/>
    <x v="2"/>
    <s v="North America"/>
    <x v="7"/>
    <s v="Brisbane"/>
    <n v="1"/>
    <n v="84000"/>
    <x v="4"/>
    <s v="Performance"/>
    <n v="19"/>
    <x v="1"/>
    <s v="Roy-Walker Tesla"/>
  </r>
  <r>
    <s v="S0427"/>
    <s v="CUST0427"/>
    <x v="33"/>
    <x v="2"/>
    <s v="Europe"/>
    <x v="1"/>
    <s v="Toulouse"/>
    <n v="5"/>
    <n v="420000"/>
    <x v="1"/>
    <s v="Performance"/>
    <n v="31"/>
    <x v="0"/>
    <s v="Mcdaniel-Cox Tesla"/>
  </r>
  <r>
    <s v="S0428"/>
    <s v="CUST0428"/>
    <x v="257"/>
    <x v="3"/>
    <s v="Europe"/>
    <x v="2"/>
    <s v="Munich"/>
    <n v="1"/>
    <n v="54000"/>
    <x v="2"/>
    <s v="Long Range"/>
    <n v="58"/>
    <x v="1"/>
    <s v="Li, Rubio and Chavez Tesla"/>
  </r>
  <r>
    <s v="S0429"/>
    <s v="CUST0429"/>
    <x v="331"/>
    <x v="3"/>
    <s v="Asia"/>
    <x v="2"/>
    <s v="Berlin"/>
    <n v="3"/>
    <n v="189000"/>
    <x v="4"/>
    <s v="Performance"/>
    <n v="45"/>
    <x v="0"/>
    <s v="Trujillo and Sons Tesla"/>
  </r>
  <r>
    <s v="S0430"/>
    <s v="CUST0430"/>
    <x v="27"/>
    <x v="2"/>
    <s v="North America"/>
    <x v="3"/>
    <s v="Calgary"/>
    <n v="3"/>
    <n v="216000"/>
    <x v="1"/>
    <s v="Long Range"/>
    <n v="38"/>
    <x v="1"/>
    <s v="Davis and Sons Tesla"/>
  </r>
  <r>
    <s v="S0431"/>
    <s v="CUST0431"/>
    <x v="246"/>
    <x v="0"/>
    <s v="Asia"/>
    <x v="9"/>
    <s v="Yokohama"/>
    <n v="3"/>
    <n v="420000"/>
    <x v="1"/>
    <s v="Performance"/>
    <n v="17"/>
    <x v="1"/>
    <s v="Gonzalez, Smith and Huerta Tesla"/>
  </r>
  <r>
    <s v="S0432"/>
    <s v="CUST0432"/>
    <x v="120"/>
    <x v="1"/>
    <s v="North America"/>
    <x v="2"/>
    <s v="Munich"/>
    <n v="5"/>
    <n v="540000"/>
    <x v="4"/>
    <s v="Long Range"/>
    <n v="53"/>
    <x v="1"/>
    <s v="Smith, Martinez and Bradshaw Tesla"/>
  </r>
  <r>
    <s v="S0433"/>
    <s v="CUST0433"/>
    <x v="284"/>
    <x v="2"/>
    <s v="Asia"/>
    <x v="8"/>
    <s v="Guangzhou"/>
    <n v="5"/>
    <n v="300000"/>
    <x v="2"/>
    <s v="Standard Range"/>
    <n v="18"/>
    <x v="0"/>
    <s v="Crawford, Oliver and Fernandez Tesla"/>
  </r>
  <r>
    <s v="S0434"/>
    <s v="CUST0434"/>
    <x v="332"/>
    <x v="0"/>
    <s v="Asia"/>
    <x v="8"/>
    <s v="Shanghai"/>
    <n v="3"/>
    <n v="360000"/>
    <x v="2"/>
    <s v="Long Range"/>
    <n v="55"/>
    <x v="1"/>
    <s v="Harris-Ortiz Tesla"/>
  </r>
  <r>
    <s v="S0435"/>
    <s v="CUST0435"/>
    <x v="333"/>
    <x v="2"/>
    <s v="Asia"/>
    <x v="8"/>
    <s v="Shenzhen"/>
    <n v="2"/>
    <n v="168000"/>
    <x v="2"/>
    <s v="Performance"/>
    <n v="15"/>
    <x v="1"/>
    <s v="Melendez Ltd Tesla"/>
  </r>
  <r>
    <s v="S0436"/>
    <s v="CUST0436"/>
    <x v="199"/>
    <x v="0"/>
    <s v="North America"/>
    <x v="2"/>
    <s v="Frankfurt"/>
    <n v="1"/>
    <n v="120000"/>
    <x v="4"/>
    <s v="Long Range"/>
    <n v="18"/>
    <x v="1"/>
    <s v="Briggs and Sons Tesla"/>
  </r>
  <r>
    <s v="S0437"/>
    <s v="CUST0437"/>
    <x v="146"/>
    <x v="3"/>
    <s v="North America"/>
    <x v="3"/>
    <s v="Montreal"/>
    <n v="5"/>
    <n v="225000"/>
    <x v="1"/>
    <s v="Standard Range"/>
    <n v="44"/>
    <x v="1"/>
    <s v="Davies Ltd Tesla"/>
  </r>
  <r>
    <s v="S0438"/>
    <s v="CUST0438"/>
    <x v="334"/>
    <x v="3"/>
    <s v="Asia"/>
    <x v="1"/>
    <s v="Paris"/>
    <n v="1"/>
    <n v="45000"/>
    <x v="4"/>
    <s v="Standard Range"/>
    <n v="7"/>
    <x v="1"/>
    <s v="Mcdowell Group Tesla"/>
  </r>
  <r>
    <s v="S0439"/>
    <s v="CUST0439"/>
    <x v="335"/>
    <x v="3"/>
    <s v="North America"/>
    <x v="9"/>
    <s v="Tokyo"/>
    <n v="5"/>
    <n v="225000"/>
    <x v="3"/>
    <s v="Standard Range"/>
    <n v="5"/>
    <x v="1"/>
    <s v="Rowe Inc Tesla"/>
  </r>
  <r>
    <s v="S0440"/>
    <s v="CUST0440"/>
    <x v="336"/>
    <x v="2"/>
    <s v="Europe"/>
    <x v="7"/>
    <s v="Perth"/>
    <n v="3"/>
    <n v="180000"/>
    <x v="0"/>
    <s v="Standard Range"/>
    <n v="40"/>
    <x v="0"/>
    <s v="Castillo Ltd Tesla"/>
  </r>
  <r>
    <s v="S0441"/>
    <s v="CUST0441"/>
    <x v="158"/>
    <x v="1"/>
    <s v="Europe"/>
    <x v="9"/>
    <s v="Sapporo"/>
    <n v="2"/>
    <n v="180000"/>
    <x v="2"/>
    <s v="Standard Range"/>
    <n v="30"/>
    <x v="0"/>
    <s v="Chan Ltd Tesla"/>
  </r>
  <r>
    <s v="S0442"/>
    <s v="CUST0442"/>
    <x v="337"/>
    <x v="2"/>
    <s v="North America"/>
    <x v="0"/>
    <s v="Delhi"/>
    <n v="3"/>
    <n v="180000"/>
    <x v="0"/>
    <s v="Standard Range"/>
    <n v="40"/>
    <x v="0"/>
    <s v="Cohen, Lee and Johnson Tesla"/>
  </r>
  <r>
    <s v="S0443"/>
    <s v="CUST0443"/>
    <x v="296"/>
    <x v="0"/>
    <s v="Europe"/>
    <x v="5"/>
    <s v="Los Angeles"/>
    <n v="1"/>
    <n v="140000"/>
    <x v="0"/>
    <s v="Performance"/>
    <n v="24"/>
    <x v="0"/>
    <s v="Lee-Murray Tesla"/>
  </r>
  <r>
    <s v="S0444"/>
    <s v="CUST0444"/>
    <x v="9"/>
    <x v="1"/>
    <s v="Asia"/>
    <x v="9"/>
    <s v="Osaka"/>
    <n v="3"/>
    <n v="378000"/>
    <x v="2"/>
    <s v="Performance"/>
    <n v="44"/>
    <x v="0"/>
    <s v="Wilson PLC Tesla"/>
  </r>
  <r>
    <s v="S0445"/>
    <s v="CUST0445"/>
    <x v="338"/>
    <x v="3"/>
    <s v="Asia"/>
    <x v="0"/>
    <s v="Hyderabad"/>
    <n v="4"/>
    <n v="180000"/>
    <x v="3"/>
    <s v="Standard Range"/>
    <n v="36"/>
    <x v="1"/>
    <s v="Nguyen Group Tesla"/>
  </r>
  <r>
    <s v="S0446"/>
    <s v="CUST0446"/>
    <x v="339"/>
    <x v="3"/>
    <s v="Asia"/>
    <x v="3"/>
    <s v="Montreal"/>
    <n v="1"/>
    <n v="45000"/>
    <x v="1"/>
    <s v="Standard Range"/>
    <n v="26"/>
    <x v="0"/>
    <s v="Carter-Johnson Tesla"/>
  </r>
  <r>
    <s v="S0447"/>
    <s v="CUST0447"/>
    <x v="340"/>
    <x v="2"/>
    <s v="North America"/>
    <x v="1"/>
    <s v="Lyon"/>
    <n v="3"/>
    <n v="252000"/>
    <x v="2"/>
    <s v="Performance"/>
    <n v="5"/>
    <x v="0"/>
    <s v="Garcia-Terry Tesla"/>
  </r>
  <r>
    <s v="S0448"/>
    <s v="CUST0448"/>
    <x v="203"/>
    <x v="0"/>
    <s v="North America"/>
    <x v="4"/>
    <s v="Salvador"/>
    <n v="3"/>
    <n v="420000"/>
    <x v="1"/>
    <s v="Performance"/>
    <n v="11"/>
    <x v="0"/>
    <s v="Young Inc Tesla"/>
  </r>
  <r>
    <s v="S0449"/>
    <s v="CUST0449"/>
    <x v="341"/>
    <x v="2"/>
    <s v="Asia"/>
    <x v="8"/>
    <s v="Shanghai"/>
    <n v="3"/>
    <n v="216000"/>
    <x v="3"/>
    <s v="Long Range"/>
    <n v="33"/>
    <x v="1"/>
    <s v="Boone LLC Tesla"/>
  </r>
  <r>
    <s v="S0450"/>
    <s v="CUST0450"/>
    <x v="342"/>
    <x v="3"/>
    <s v="Asia"/>
    <x v="4"/>
    <s v="Rio de Janeiro"/>
    <n v="4"/>
    <n v="180000"/>
    <x v="0"/>
    <s v="Standard Range"/>
    <n v="37"/>
    <x v="0"/>
    <s v="Rose, Olson and Hensley Tesla"/>
  </r>
  <r>
    <s v="S0451"/>
    <s v="CUST0451"/>
    <x v="343"/>
    <x v="2"/>
    <s v="Asia"/>
    <x v="5"/>
    <s v="New York"/>
    <n v="4"/>
    <n v="288000"/>
    <x v="0"/>
    <s v="Long Range"/>
    <n v="27"/>
    <x v="0"/>
    <s v="Charles, Williamson and Hayes Tesla"/>
  </r>
  <r>
    <s v="S0452"/>
    <s v="CUST0452"/>
    <x v="344"/>
    <x v="0"/>
    <s v="Europe"/>
    <x v="2"/>
    <s v="Berlin"/>
    <n v="4"/>
    <n v="560000"/>
    <x v="3"/>
    <s v="Performance"/>
    <n v="23"/>
    <x v="0"/>
    <s v="Walker-Harris Tesla"/>
  </r>
  <r>
    <s v="S0453"/>
    <s v="CUST0453"/>
    <x v="314"/>
    <x v="3"/>
    <s v="North America"/>
    <x v="5"/>
    <s v="Los Angeles"/>
    <n v="2"/>
    <n v="126000"/>
    <x v="3"/>
    <s v="Performance"/>
    <n v="52"/>
    <x v="1"/>
    <s v="Hahn, Smith and Wilson Tesla"/>
  </r>
  <r>
    <s v="S0454"/>
    <s v="CUST0454"/>
    <x v="345"/>
    <x v="1"/>
    <s v="Europe"/>
    <x v="6"/>
    <s v="London"/>
    <n v="5"/>
    <n v="540000"/>
    <x v="3"/>
    <s v="Long Range"/>
    <n v="18"/>
    <x v="0"/>
    <s v="Pacheco PLC Tesla"/>
  </r>
  <r>
    <s v="S0455"/>
    <s v="CUST0455"/>
    <x v="346"/>
    <x v="3"/>
    <s v="Europe"/>
    <x v="8"/>
    <s v="Guangzhou"/>
    <n v="5"/>
    <n v="225000"/>
    <x v="4"/>
    <s v="Standard Range"/>
    <n v="32"/>
    <x v="1"/>
    <s v="Cook, Brown and Stuart Tesla"/>
  </r>
  <r>
    <s v="S0456"/>
    <s v="CUST0456"/>
    <x v="347"/>
    <x v="2"/>
    <s v="North America"/>
    <x v="6"/>
    <s v="Manchester"/>
    <n v="2"/>
    <n v="120000"/>
    <x v="0"/>
    <s v="Standard Range"/>
    <n v="7"/>
    <x v="1"/>
    <s v="Hayes, Tyler and Peterson Tesla"/>
  </r>
  <r>
    <s v="S0457"/>
    <s v="CUST0457"/>
    <x v="348"/>
    <x v="0"/>
    <s v="Asia"/>
    <x v="0"/>
    <s v="Delhi"/>
    <n v="4"/>
    <n v="400000"/>
    <x v="0"/>
    <s v="Standard Range"/>
    <n v="27"/>
    <x v="0"/>
    <s v="Singleton Group Tesla"/>
  </r>
  <r>
    <s v="S0458"/>
    <s v="CUST0458"/>
    <x v="349"/>
    <x v="0"/>
    <s v="Europe"/>
    <x v="2"/>
    <s v="Berlin"/>
    <n v="3"/>
    <n v="420000"/>
    <x v="1"/>
    <s v="Performance"/>
    <n v="49"/>
    <x v="0"/>
    <s v="Cobb, Romero and Evans Tesla"/>
  </r>
  <r>
    <s v="S0459"/>
    <s v="CUST0459"/>
    <x v="223"/>
    <x v="1"/>
    <s v="North America"/>
    <x v="4"/>
    <s v="Salvador"/>
    <n v="4"/>
    <n v="504000"/>
    <x v="4"/>
    <s v="Performance"/>
    <n v="49"/>
    <x v="1"/>
    <s v="Crosby-Barnett Tesla"/>
  </r>
  <r>
    <s v="S0460"/>
    <s v="CUST0460"/>
    <x v="350"/>
    <x v="1"/>
    <s v="North America"/>
    <x v="7"/>
    <s v="Adelaide"/>
    <n v="4"/>
    <n v="504000"/>
    <x v="0"/>
    <s v="Performance"/>
    <n v="34"/>
    <x v="1"/>
    <s v="Jimenez Group Tesla"/>
  </r>
  <r>
    <s v="S0461"/>
    <s v="CUST0461"/>
    <x v="351"/>
    <x v="3"/>
    <s v="North America"/>
    <x v="2"/>
    <s v="Munich"/>
    <n v="5"/>
    <n v="225000"/>
    <x v="1"/>
    <s v="Standard Range"/>
    <n v="14"/>
    <x v="1"/>
    <s v="Moore PLC Tesla"/>
  </r>
  <r>
    <s v="S0462"/>
    <s v="CUST0462"/>
    <x v="352"/>
    <x v="3"/>
    <s v="Europe"/>
    <x v="3"/>
    <s v="Calgary"/>
    <n v="4"/>
    <n v="180000"/>
    <x v="3"/>
    <s v="Standard Range"/>
    <n v="45"/>
    <x v="0"/>
    <s v="Roberts-Caldwell Tesla"/>
  </r>
  <r>
    <s v="S0463"/>
    <s v="CUST0463"/>
    <x v="353"/>
    <x v="0"/>
    <s v="North America"/>
    <x v="0"/>
    <s v="Hyderabad"/>
    <n v="3"/>
    <n v="420000"/>
    <x v="0"/>
    <s v="Performance"/>
    <n v="19"/>
    <x v="1"/>
    <s v="Alexander, Watts and Spencer Tesla"/>
  </r>
  <r>
    <s v="S0464"/>
    <s v="CUST0464"/>
    <x v="180"/>
    <x v="2"/>
    <s v="North America"/>
    <x v="4"/>
    <s v="Salvador"/>
    <n v="1"/>
    <n v="84000"/>
    <x v="0"/>
    <s v="Performance"/>
    <n v="18"/>
    <x v="1"/>
    <s v="Hughes Group Tesla"/>
  </r>
  <r>
    <s v="S0465"/>
    <s v="CUST0465"/>
    <x v="319"/>
    <x v="0"/>
    <s v="Europe"/>
    <x v="5"/>
    <s v="Chicago"/>
    <n v="3"/>
    <n v="300000"/>
    <x v="3"/>
    <s v="Standard Range"/>
    <n v="8"/>
    <x v="1"/>
    <s v="Stone LLC Tesla"/>
  </r>
  <r>
    <s v="S0466"/>
    <s v="CUST0466"/>
    <x v="64"/>
    <x v="3"/>
    <s v="Europe"/>
    <x v="9"/>
    <s v="Tokyo"/>
    <n v="2"/>
    <n v="108000"/>
    <x v="2"/>
    <s v="Long Range"/>
    <n v="20"/>
    <x v="1"/>
    <s v="Hall-Robertson Tesla"/>
  </r>
  <r>
    <s v="S0467"/>
    <s v="CUST0467"/>
    <x v="354"/>
    <x v="2"/>
    <s v="North America"/>
    <x v="1"/>
    <s v="Toulouse"/>
    <n v="4"/>
    <n v="240000"/>
    <x v="0"/>
    <s v="Standard Range"/>
    <n v="17"/>
    <x v="0"/>
    <s v="Woods Inc Tesla"/>
  </r>
  <r>
    <s v="S0468"/>
    <s v="CUST0468"/>
    <x v="355"/>
    <x v="3"/>
    <s v="Europe"/>
    <x v="6"/>
    <s v="Manchester"/>
    <n v="3"/>
    <n v="189000"/>
    <x v="4"/>
    <s v="Performance"/>
    <n v="21"/>
    <x v="1"/>
    <s v="Hill, Glover and Hill Tesla"/>
  </r>
  <r>
    <s v="S0469"/>
    <s v="CUST0469"/>
    <x v="356"/>
    <x v="0"/>
    <s v="North America"/>
    <x v="0"/>
    <s v="Chennai"/>
    <n v="1"/>
    <n v="100000"/>
    <x v="1"/>
    <s v="Standard Range"/>
    <n v="27"/>
    <x v="1"/>
    <s v="Stanton-Blackwell Tesla"/>
  </r>
  <r>
    <s v="S0470"/>
    <s v="CUST0470"/>
    <x v="121"/>
    <x v="2"/>
    <s v="Europe"/>
    <x v="5"/>
    <s v="Houston"/>
    <n v="5"/>
    <n v="420000"/>
    <x v="4"/>
    <s v="Performance"/>
    <n v="51"/>
    <x v="0"/>
    <s v="Mcdonald Inc Tesla"/>
  </r>
  <r>
    <s v="S0471"/>
    <s v="CUST0471"/>
    <x v="286"/>
    <x v="1"/>
    <s v="Europe"/>
    <x v="3"/>
    <s v="Montreal"/>
    <n v="4"/>
    <n v="504000"/>
    <x v="4"/>
    <s v="Performance"/>
    <n v="40"/>
    <x v="0"/>
    <s v="Flowers-Hayes Tesla"/>
  </r>
  <r>
    <s v="S0472"/>
    <s v="CUST0472"/>
    <x v="23"/>
    <x v="1"/>
    <s v="North America"/>
    <x v="0"/>
    <s v="Bangalore"/>
    <n v="2"/>
    <n v="216000"/>
    <x v="1"/>
    <s v="Long Range"/>
    <n v="34"/>
    <x v="0"/>
    <s v="Davis-Huber Tesla"/>
  </r>
  <r>
    <s v="S0473"/>
    <s v="CUST0473"/>
    <x v="357"/>
    <x v="0"/>
    <s v="Europe"/>
    <x v="9"/>
    <s v="Nagoya"/>
    <n v="3"/>
    <n v="300000"/>
    <x v="0"/>
    <s v="Standard Range"/>
    <n v="13"/>
    <x v="1"/>
    <s v="Johnson-Heath Tesla"/>
  </r>
  <r>
    <s v="S0474"/>
    <s v="CUST0474"/>
    <x v="48"/>
    <x v="1"/>
    <s v="North America"/>
    <x v="2"/>
    <s v="Cologne"/>
    <n v="2"/>
    <n v="180000"/>
    <x v="1"/>
    <s v="Standard Range"/>
    <n v="49"/>
    <x v="1"/>
    <s v="Hodges, Phelps and Mcdonald Tesla"/>
  </r>
  <r>
    <s v="S0475"/>
    <s v="CUST0475"/>
    <x v="358"/>
    <x v="0"/>
    <s v="Asia"/>
    <x v="0"/>
    <s v="Hyderabad"/>
    <n v="2"/>
    <n v="200000"/>
    <x v="4"/>
    <s v="Standard Range"/>
    <n v="15"/>
    <x v="1"/>
    <s v="Rodriguez-Wallace Tesla"/>
  </r>
  <r>
    <s v="S0476"/>
    <s v="CUST0476"/>
    <x v="216"/>
    <x v="3"/>
    <s v="Asia"/>
    <x v="5"/>
    <s v="San Francisco"/>
    <n v="5"/>
    <n v="315000"/>
    <x v="4"/>
    <s v="Performance"/>
    <n v="34"/>
    <x v="0"/>
    <s v="Hester Ltd Tesla"/>
  </r>
  <r>
    <s v="S0477"/>
    <s v="CUST0477"/>
    <x v="359"/>
    <x v="2"/>
    <s v="Asia"/>
    <x v="6"/>
    <s v="London"/>
    <n v="3"/>
    <n v="216000"/>
    <x v="3"/>
    <s v="Long Range"/>
    <n v="11"/>
    <x v="0"/>
    <s v="Smith Group Tesla"/>
  </r>
  <r>
    <s v="S0478"/>
    <s v="CUST0478"/>
    <x v="360"/>
    <x v="1"/>
    <s v="Asia"/>
    <x v="0"/>
    <s v="Bangalore"/>
    <n v="5"/>
    <n v="540000"/>
    <x v="2"/>
    <s v="Long Range"/>
    <n v="48"/>
    <x v="0"/>
    <s v="Short-Phillips Tesla"/>
  </r>
  <r>
    <s v="S0479"/>
    <s v="CUST0479"/>
    <x v="361"/>
    <x v="3"/>
    <s v="Europe"/>
    <x v="9"/>
    <s v="Nagoya"/>
    <n v="5"/>
    <n v="315000"/>
    <x v="4"/>
    <s v="Performance"/>
    <n v="56"/>
    <x v="1"/>
    <s v="Taylor, Mendoza and Vasquez Tesla"/>
  </r>
  <r>
    <s v="S0480"/>
    <s v="CUST0480"/>
    <x v="344"/>
    <x v="2"/>
    <s v="North America"/>
    <x v="4"/>
    <s v="Fortaleza"/>
    <n v="4"/>
    <n v="240000"/>
    <x v="3"/>
    <s v="Standard Range"/>
    <n v="16"/>
    <x v="1"/>
    <s v="Hall-Allen Tesla"/>
  </r>
  <r>
    <s v="S0481"/>
    <s v="CUST0481"/>
    <x v="131"/>
    <x v="1"/>
    <s v="North America"/>
    <x v="4"/>
    <s v="SÃ£o Paulo"/>
    <n v="1"/>
    <n v="108000"/>
    <x v="0"/>
    <s v="Long Range"/>
    <n v="33"/>
    <x v="1"/>
    <s v="Sutton Ltd Tesla"/>
  </r>
  <r>
    <s v="S0482"/>
    <s v="CUST0482"/>
    <x v="362"/>
    <x v="0"/>
    <s v="Europe"/>
    <x v="1"/>
    <s v="Nice"/>
    <n v="3"/>
    <n v="360000"/>
    <x v="1"/>
    <s v="Long Range"/>
    <n v="53"/>
    <x v="1"/>
    <s v="Moss Group Tesla"/>
  </r>
  <r>
    <s v="S0483"/>
    <s v="CUST0483"/>
    <x v="363"/>
    <x v="3"/>
    <s v="North America"/>
    <x v="0"/>
    <s v="Bangalore"/>
    <n v="4"/>
    <n v="180000"/>
    <x v="2"/>
    <s v="Standard Range"/>
    <n v="24"/>
    <x v="0"/>
    <s v="Smith, Lam and Smith Tesla"/>
  </r>
  <r>
    <s v="S0484"/>
    <s v="CUST0484"/>
    <x v="254"/>
    <x v="3"/>
    <s v="Asia"/>
    <x v="0"/>
    <s v="Delhi"/>
    <n v="5"/>
    <n v="315000"/>
    <x v="0"/>
    <s v="Performance"/>
    <n v="36"/>
    <x v="1"/>
    <s v="Patel, Johnson and Nguyen Tesla"/>
  </r>
  <r>
    <s v="S0485"/>
    <s v="CUST0485"/>
    <x v="350"/>
    <x v="3"/>
    <s v="Asia"/>
    <x v="6"/>
    <s v="Liverpool"/>
    <n v="2"/>
    <n v="90000"/>
    <x v="0"/>
    <s v="Standard Range"/>
    <n v="36"/>
    <x v="0"/>
    <s v="Henry, Anderson and Shields Tesla"/>
  </r>
  <r>
    <s v="S0486"/>
    <s v="CUST0486"/>
    <x v="191"/>
    <x v="2"/>
    <s v="North America"/>
    <x v="0"/>
    <s v="Chennai"/>
    <n v="3"/>
    <n v="216000"/>
    <x v="3"/>
    <s v="Long Range"/>
    <n v="44"/>
    <x v="1"/>
    <s v="Powell LLC Tesla"/>
  </r>
  <r>
    <s v="S0487"/>
    <s v="CUST0487"/>
    <x v="59"/>
    <x v="3"/>
    <s v="Asia"/>
    <x v="5"/>
    <s v="New York"/>
    <n v="4"/>
    <n v="252000"/>
    <x v="2"/>
    <s v="Performance"/>
    <n v="60"/>
    <x v="0"/>
    <s v="Fisher, Harrington and Burnett Tesla"/>
  </r>
  <r>
    <s v="S0488"/>
    <s v="CUST0488"/>
    <x v="133"/>
    <x v="0"/>
    <s v="Asia"/>
    <x v="1"/>
    <s v="Toulouse"/>
    <n v="3"/>
    <n v="420000"/>
    <x v="2"/>
    <s v="Performance"/>
    <n v="11"/>
    <x v="1"/>
    <s v="Jones PLC Tesla"/>
  </r>
  <r>
    <s v="S0489"/>
    <s v="CUST0489"/>
    <x v="345"/>
    <x v="0"/>
    <s v="North America"/>
    <x v="8"/>
    <s v="Beijing"/>
    <n v="5"/>
    <n v="700000"/>
    <x v="1"/>
    <s v="Performance"/>
    <n v="14"/>
    <x v="1"/>
    <s v="Horton-Mcclure Tesla"/>
  </r>
  <r>
    <s v="S0490"/>
    <s v="CUST0490"/>
    <x v="364"/>
    <x v="3"/>
    <s v="Asia"/>
    <x v="3"/>
    <s v="Toronto"/>
    <n v="5"/>
    <n v="270000"/>
    <x v="4"/>
    <s v="Long Range"/>
    <n v="37"/>
    <x v="0"/>
    <s v="Nelson, Johnson and Reynolds Tesla"/>
  </r>
  <r>
    <s v="S0491"/>
    <s v="CUST0491"/>
    <x v="365"/>
    <x v="0"/>
    <s v="North America"/>
    <x v="5"/>
    <s v="Houston"/>
    <n v="3"/>
    <n v="360000"/>
    <x v="2"/>
    <s v="Long Range"/>
    <n v="56"/>
    <x v="0"/>
    <s v="Huang, Pratt and Rivera Tesla"/>
  </r>
  <r>
    <s v="S0492"/>
    <s v="CUST0492"/>
    <x v="260"/>
    <x v="3"/>
    <s v="Asia"/>
    <x v="6"/>
    <s v="Liverpool"/>
    <n v="1"/>
    <n v="63000"/>
    <x v="4"/>
    <s v="Performance"/>
    <n v="5"/>
    <x v="0"/>
    <s v="Jones, Smith and Nielsen Tesla"/>
  </r>
  <r>
    <s v="S0493"/>
    <s v="CUST0493"/>
    <x v="269"/>
    <x v="2"/>
    <s v="Europe"/>
    <x v="3"/>
    <s v="Vancouver"/>
    <n v="1"/>
    <n v="84000"/>
    <x v="3"/>
    <s v="Performance"/>
    <n v="6"/>
    <x v="1"/>
    <s v="Nelson LLC Tesla"/>
  </r>
  <r>
    <s v="S0494"/>
    <s v="CUST0494"/>
    <x v="366"/>
    <x v="3"/>
    <s v="Asia"/>
    <x v="5"/>
    <s v="Chicago"/>
    <n v="5"/>
    <n v="225000"/>
    <x v="4"/>
    <s v="Standard Range"/>
    <n v="20"/>
    <x v="0"/>
    <s v="Wilson-Tyler Tesla"/>
  </r>
  <r>
    <s v="S0495"/>
    <s v="CUST0495"/>
    <x v="40"/>
    <x v="0"/>
    <s v="North America"/>
    <x v="9"/>
    <s v="Nagoya"/>
    <n v="4"/>
    <n v="480000"/>
    <x v="2"/>
    <s v="Long Range"/>
    <n v="5"/>
    <x v="1"/>
    <s v="Moore Ltd Tesla"/>
  </r>
  <r>
    <s v="S0496"/>
    <s v="CUST0496"/>
    <x v="95"/>
    <x v="3"/>
    <s v="Europe"/>
    <x v="7"/>
    <s v="Melbourne"/>
    <n v="5"/>
    <n v="270000"/>
    <x v="3"/>
    <s v="Long Range"/>
    <n v="50"/>
    <x v="0"/>
    <s v="Dickson, Swanson and Stephenson Tesla"/>
  </r>
  <r>
    <s v="S0497"/>
    <s v="CUST0497"/>
    <x v="100"/>
    <x v="0"/>
    <s v="North America"/>
    <x v="0"/>
    <s v="Mumbai"/>
    <n v="5"/>
    <n v="500000"/>
    <x v="4"/>
    <s v="Standard Range"/>
    <n v="28"/>
    <x v="1"/>
    <s v="Howe-Levy Tesla"/>
  </r>
  <r>
    <s v="S0498"/>
    <s v="CUST0498"/>
    <x v="367"/>
    <x v="3"/>
    <s v="North America"/>
    <x v="6"/>
    <s v="London"/>
    <n v="2"/>
    <n v="126000"/>
    <x v="2"/>
    <s v="Performance"/>
    <n v="37"/>
    <x v="1"/>
    <s v="Smith, Johnson and Hawkins Tesla"/>
  </r>
  <r>
    <s v="S0499"/>
    <s v="CUST0499"/>
    <x v="368"/>
    <x v="3"/>
    <s v="Asia"/>
    <x v="0"/>
    <s v="Delhi"/>
    <n v="1"/>
    <n v="63000"/>
    <x v="0"/>
    <s v="Performance"/>
    <n v="10"/>
    <x v="0"/>
    <s v="Reed-Wheeler Tesla"/>
  </r>
  <r>
    <s v="S0500"/>
    <s v="CUST0500"/>
    <x v="369"/>
    <x v="0"/>
    <s v="Asia"/>
    <x v="8"/>
    <s v="Shanghai"/>
    <n v="1"/>
    <n v="100000"/>
    <x v="3"/>
    <s v="Standard Range"/>
    <n v="19"/>
    <x v="1"/>
    <s v="Valentine and Sons Tesla"/>
  </r>
  <r>
    <s v="S0501"/>
    <s v="CUST0501"/>
    <x v="54"/>
    <x v="1"/>
    <s v="Asia"/>
    <x v="6"/>
    <s v="Liverpool"/>
    <n v="1"/>
    <n v="90000"/>
    <x v="4"/>
    <s v="Standard Range"/>
    <n v="54"/>
    <x v="0"/>
    <s v="Robinson, Hahn and Torres Tesla"/>
  </r>
  <r>
    <s v="S0502"/>
    <s v="CUST0502"/>
    <x v="370"/>
    <x v="0"/>
    <s v="Asia"/>
    <x v="0"/>
    <s v="Mumbai"/>
    <n v="1"/>
    <n v="100000"/>
    <x v="3"/>
    <s v="Standard Range"/>
    <n v="33"/>
    <x v="0"/>
    <s v="Gordon-Johnson Tesla"/>
  </r>
  <r>
    <s v="S0503"/>
    <s v="CUST0503"/>
    <x v="252"/>
    <x v="2"/>
    <s v="North America"/>
    <x v="1"/>
    <s v="Lyon"/>
    <n v="1"/>
    <n v="72000"/>
    <x v="0"/>
    <s v="Long Range"/>
    <n v="31"/>
    <x v="0"/>
    <s v="Brown Inc Tesla"/>
  </r>
  <r>
    <s v="S0504"/>
    <s v="CUST0504"/>
    <x v="371"/>
    <x v="3"/>
    <s v="North America"/>
    <x v="7"/>
    <s v="Adelaide"/>
    <n v="1"/>
    <n v="54000"/>
    <x v="2"/>
    <s v="Long Range"/>
    <n v="33"/>
    <x v="1"/>
    <s v="Obrien Inc Tesla"/>
  </r>
  <r>
    <s v="S0505"/>
    <s v="CUST0505"/>
    <x v="372"/>
    <x v="3"/>
    <s v="Asia"/>
    <x v="6"/>
    <s v="Leeds"/>
    <n v="1"/>
    <n v="45000"/>
    <x v="1"/>
    <s v="Standard Range"/>
    <n v="52"/>
    <x v="0"/>
    <s v="Ortiz, Thompson and Alexander Tesla"/>
  </r>
  <r>
    <s v="S0506"/>
    <s v="CUST0506"/>
    <x v="102"/>
    <x v="3"/>
    <s v="Europe"/>
    <x v="7"/>
    <s v="Perth"/>
    <n v="5"/>
    <n v="315000"/>
    <x v="2"/>
    <s v="Performance"/>
    <n v="47"/>
    <x v="1"/>
    <s v="Brown-Clayton Tesla"/>
  </r>
  <r>
    <s v="S0507"/>
    <s v="CUST0507"/>
    <x v="132"/>
    <x v="3"/>
    <s v="Europe"/>
    <x v="3"/>
    <s v="Montreal"/>
    <n v="2"/>
    <n v="108000"/>
    <x v="3"/>
    <s v="Long Range"/>
    <n v="60"/>
    <x v="1"/>
    <s v="Cortez, Greene and Tucker Tesla"/>
  </r>
  <r>
    <s v="S0508"/>
    <s v="CUST0508"/>
    <x v="300"/>
    <x v="0"/>
    <s v="North America"/>
    <x v="4"/>
    <s v="Fortaleza"/>
    <n v="2"/>
    <n v="240000"/>
    <x v="2"/>
    <s v="Long Range"/>
    <n v="24"/>
    <x v="0"/>
    <s v="Freeman-Martinez Tesla"/>
  </r>
  <r>
    <s v="S0509"/>
    <s v="CUST0509"/>
    <x v="373"/>
    <x v="3"/>
    <s v="North America"/>
    <x v="7"/>
    <s v="Adelaide"/>
    <n v="4"/>
    <n v="180000"/>
    <x v="1"/>
    <s v="Standard Range"/>
    <n v="13"/>
    <x v="1"/>
    <s v="Harvey-Pruitt Tesla"/>
  </r>
  <r>
    <s v="S0510"/>
    <s v="CUST0510"/>
    <x v="374"/>
    <x v="3"/>
    <s v="North America"/>
    <x v="5"/>
    <s v="San Francisco"/>
    <n v="5"/>
    <n v="270000"/>
    <x v="3"/>
    <s v="Long Range"/>
    <n v="55"/>
    <x v="0"/>
    <s v="Wong PLC Tesla"/>
  </r>
  <r>
    <s v="S0511"/>
    <s v="CUST0511"/>
    <x v="345"/>
    <x v="2"/>
    <s v="Europe"/>
    <x v="8"/>
    <s v="Beijing"/>
    <n v="3"/>
    <n v="252000"/>
    <x v="0"/>
    <s v="Performance"/>
    <n v="50"/>
    <x v="0"/>
    <s v="Raymond-Johnson Tesla"/>
  </r>
  <r>
    <s v="S0512"/>
    <s v="CUST0512"/>
    <x v="375"/>
    <x v="3"/>
    <s v="Europe"/>
    <x v="7"/>
    <s v="Sydney"/>
    <n v="2"/>
    <n v="126000"/>
    <x v="4"/>
    <s v="Performance"/>
    <n v="45"/>
    <x v="0"/>
    <s v="Walker LLC Tesla"/>
  </r>
  <r>
    <s v="S0513"/>
    <s v="CUST0513"/>
    <x v="376"/>
    <x v="0"/>
    <s v="North America"/>
    <x v="5"/>
    <s v="Los Angeles"/>
    <n v="1"/>
    <n v="140000"/>
    <x v="3"/>
    <s v="Performance"/>
    <n v="7"/>
    <x v="1"/>
    <s v="Duncan Group Tesla"/>
  </r>
  <r>
    <s v="S0514"/>
    <s v="CUST0514"/>
    <x v="346"/>
    <x v="1"/>
    <s v="Asia"/>
    <x v="1"/>
    <s v="Paris"/>
    <n v="3"/>
    <n v="378000"/>
    <x v="2"/>
    <s v="Performance"/>
    <n v="16"/>
    <x v="0"/>
    <s v="Rowland, Brooks and Myers Tesla"/>
  </r>
  <r>
    <s v="S0515"/>
    <s v="CUST0515"/>
    <x v="212"/>
    <x v="3"/>
    <s v="North America"/>
    <x v="1"/>
    <s v="Lyon"/>
    <n v="2"/>
    <n v="108000"/>
    <x v="1"/>
    <s v="Long Range"/>
    <n v="45"/>
    <x v="0"/>
    <s v="Rose LLC Tesla"/>
  </r>
  <r>
    <s v="S0516"/>
    <s v="CUST0516"/>
    <x v="215"/>
    <x v="3"/>
    <s v="Asia"/>
    <x v="1"/>
    <s v="Marseille"/>
    <n v="2"/>
    <n v="90000"/>
    <x v="3"/>
    <s v="Standard Range"/>
    <n v="60"/>
    <x v="1"/>
    <s v="Cabrera-Dickson Tesla"/>
  </r>
  <r>
    <s v="S0517"/>
    <s v="CUST0517"/>
    <x v="24"/>
    <x v="1"/>
    <s v="Europe"/>
    <x v="8"/>
    <s v="Shanghai"/>
    <n v="3"/>
    <n v="378000"/>
    <x v="3"/>
    <s v="Performance"/>
    <n v="43"/>
    <x v="0"/>
    <s v="Burnett-Mendoza Tesla"/>
  </r>
  <r>
    <s v="S0518"/>
    <s v="CUST0518"/>
    <x v="293"/>
    <x v="2"/>
    <s v="North America"/>
    <x v="9"/>
    <s v="Sapporo"/>
    <n v="2"/>
    <n v="144000"/>
    <x v="0"/>
    <s v="Long Range"/>
    <n v="39"/>
    <x v="0"/>
    <s v="Delgado-Strong Tesla"/>
  </r>
  <r>
    <s v="S0519"/>
    <s v="CUST0519"/>
    <x v="377"/>
    <x v="1"/>
    <s v="Europe"/>
    <x v="2"/>
    <s v="Munich"/>
    <n v="5"/>
    <n v="450000"/>
    <x v="0"/>
    <s v="Standard Range"/>
    <n v="11"/>
    <x v="1"/>
    <s v="Smith-Jones Tesla"/>
  </r>
  <r>
    <s v="S0520"/>
    <s v="CUST0520"/>
    <x v="76"/>
    <x v="1"/>
    <s v="Asia"/>
    <x v="5"/>
    <s v="Houston"/>
    <n v="1"/>
    <n v="126000"/>
    <x v="0"/>
    <s v="Performance"/>
    <n v="47"/>
    <x v="0"/>
    <s v="Holloway, Olsen and Spencer Tesla"/>
  </r>
  <r>
    <s v="S0521"/>
    <s v="CUST0521"/>
    <x v="378"/>
    <x v="2"/>
    <s v="Europe"/>
    <x v="0"/>
    <s v="Delhi"/>
    <n v="4"/>
    <n v="240000"/>
    <x v="0"/>
    <s v="Standard Range"/>
    <n v="45"/>
    <x v="0"/>
    <s v="Brewer-Warner Tesla"/>
  </r>
  <r>
    <s v="S0522"/>
    <s v="CUST0522"/>
    <x v="364"/>
    <x v="1"/>
    <s v="Asia"/>
    <x v="8"/>
    <s v="Shenzhen"/>
    <n v="5"/>
    <n v="630000"/>
    <x v="4"/>
    <s v="Performance"/>
    <n v="9"/>
    <x v="1"/>
    <s v="Perez LLC Tesla"/>
  </r>
  <r>
    <s v="S0523"/>
    <s v="CUST0523"/>
    <x v="379"/>
    <x v="3"/>
    <s v="Asia"/>
    <x v="7"/>
    <s v="Perth"/>
    <n v="1"/>
    <n v="54000"/>
    <x v="2"/>
    <s v="Long Range"/>
    <n v="55"/>
    <x v="0"/>
    <s v="Aguilar-King Tesla"/>
  </r>
  <r>
    <s v="S0524"/>
    <s v="CUST0524"/>
    <x v="246"/>
    <x v="1"/>
    <s v="North America"/>
    <x v="4"/>
    <s v="SÃ£o Paulo"/>
    <n v="1"/>
    <n v="90000"/>
    <x v="3"/>
    <s v="Standard Range"/>
    <n v="38"/>
    <x v="1"/>
    <s v="Duncan, Hill and Johnson Tesla"/>
  </r>
  <r>
    <s v="S0525"/>
    <s v="CUST0525"/>
    <x v="217"/>
    <x v="1"/>
    <s v="Europe"/>
    <x v="2"/>
    <s v="Munich"/>
    <n v="5"/>
    <n v="450000"/>
    <x v="1"/>
    <s v="Standard Range"/>
    <n v="27"/>
    <x v="1"/>
    <s v="Murray Group Tesla"/>
  </r>
  <r>
    <s v="S0526"/>
    <s v="CUST0526"/>
    <x v="296"/>
    <x v="0"/>
    <s v="North America"/>
    <x v="8"/>
    <s v="Beijing"/>
    <n v="3"/>
    <n v="420000"/>
    <x v="4"/>
    <s v="Performance"/>
    <n v="60"/>
    <x v="1"/>
    <s v="Miller Ltd Tesla"/>
  </r>
  <r>
    <s v="S0527"/>
    <s v="CUST0527"/>
    <x v="380"/>
    <x v="3"/>
    <s v="Europe"/>
    <x v="5"/>
    <s v="New York"/>
    <n v="3"/>
    <n v="162000"/>
    <x v="4"/>
    <s v="Long Range"/>
    <n v="13"/>
    <x v="0"/>
    <s v="Carlson-Rodriguez Tesla"/>
  </r>
  <r>
    <s v="S0528"/>
    <s v="CUST0528"/>
    <x v="279"/>
    <x v="3"/>
    <s v="Europe"/>
    <x v="5"/>
    <s v="San Francisco"/>
    <n v="5"/>
    <n v="270000"/>
    <x v="4"/>
    <s v="Long Range"/>
    <n v="21"/>
    <x v="1"/>
    <s v="Pruitt-Gamble Tesla"/>
  </r>
  <r>
    <s v="S0529"/>
    <s v="CUST0529"/>
    <x v="327"/>
    <x v="1"/>
    <s v="Asia"/>
    <x v="7"/>
    <s v="Sydney"/>
    <n v="2"/>
    <n v="180000"/>
    <x v="1"/>
    <s v="Standard Range"/>
    <n v="18"/>
    <x v="1"/>
    <s v="Martinez-Simmons Tesla"/>
  </r>
  <r>
    <s v="S0530"/>
    <s v="CUST0530"/>
    <x v="263"/>
    <x v="0"/>
    <s v="Europe"/>
    <x v="5"/>
    <s v="Houston"/>
    <n v="4"/>
    <n v="560000"/>
    <x v="1"/>
    <s v="Performance"/>
    <n v="24"/>
    <x v="0"/>
    <s v="Lee, Hawkins and Kelly Tesla"/>
  </r>
  <r>
    <s v="S0531"/>
    <s v="CUST0531"/>
    <x v="381"/>
    <x v="3"/>
    <s v="North America"/>
    <x v="5"/>
    <s v="New York"/>
    <n v="4"/>
    <n v="252000"/>
    <x v="1"/>
    <s v="Performance"/>
    <n v="42"/>
    <x v="0"/>
    <s v="Moore, Newton and Baird Tesla"/>
  </r>
  <r>
    <s v="S0532"/>
    <s v="CUST0532"/>
    <x v="197"/>
    <x v="1"/>
    <s v="Asia"/>
    <x v="4"/>
    <s v="Rio de Janeiro"/>
    <n v="5"/>
    <n v="450000"/>
    <x v="3"/>
    <s v="Standard Range"/>
    <n v="60"/>
    <x v="1"/>
    <s v="Thompson, Powell and Gonzalez Tesla"/>
  </r>
  <r>
    <s v="S0533"/>
    <s v="CUST0533"/>
    <x v="382"/>
    <x v="2"/>
    <s v="Asia"/>
    <x v="1"/>
    <s v="Lyon"/>
    <n v="5"/>
    <n v="300000"/>
    <x v="0"/>
    <s v="Standard Range"/>
    <n v="34"/>
    <x v="1"/>
    <s v="Jones LLC Tesla"/>
  </r>
  <r>
    <s v="S0534"/>
    <s v="CUST0534"/>
    <x v="345"/>
    <x v="3"/>
    <s v="Asia"/>
    <x v="5"/>
    <s v="New York"/>
    <n v="2"/>
    <n v="108000"/>
    <x v="1"/>
    <s v="Long Range"/>
    <n v="57"/>
    <x v="0"/>
    <s v="Johnson, Ray and Jones Tesla"/>
  </r>
  <r>
    <s v="S0535"/>
    <s v="CUST0535"/>
    <x v="207"/>
    <x v="1"/>
    <s v="Europe"/>
    <x v="3"/>
    <s v="Calgary"/>
    <n v="1"/>
    <n v="108000"/>
    <x v="0"/>
    <s v="Long Range"/>
    <n v="35"/>
    <x v="0"/>
    <s v="Smith PLC Tesla"/>
  </r>
  <r>
    <s v="S0536"/>
    <s v="CUST0536"/>
    <x v="383"/>
    <x v="2"/>
    <s v="Asia"/>
    <x v="6"/>
    <s v="Liverpool"/>
    <n v="2"/>
    <n v="144000"/>
    <x v="2"/>
    <s v="Long Range"/>
    <n v="47"/>
    <x v="1"/>
    <s v="Lewis-Daugherty Tesla"/>
  </r>
  <r>
    <s v="S0537"/>
    <s v="CUST0537"/>
    <x v="132"/>
    <x v="2"/>
    <s v="Asia"/>
    <x v="2"/>
    <s v="Frankfurt"/>
    <n v="2"/>
    <n v="120000"/>
    <x v="1"/>
    <s v="Standard Range"/>
    <n v="16"/>
    <x v="0"/>
    <s v="Ryan Group Tesla"/>
  </r>
  <r>
    <s v="S0538"/>
    <s v="CUST0538"/>
    <x v="335"/>
    <x v="3"/>
    <s v="Asia"/>
    <x v="7"/>
    <s v="Perth"/>
    <n v="2"/>
    <n v="90000"/>
    <x v="0"/>
    <s v="Standard Range"/>
    <n v="13"/>
    <x v="1"/>
    <s v="Jones, Butler and Robbins Tesla"/>
  </r>
  <r>
    <s v="S0539"/>
    <s v="CUST0539"/>
    <x v="384"/>
    <x v="1"/>
    <s v="Asia"/>
    <x v="6"/>
    <s v="London"/>
    <n v="5"/>
    <n v="540000"/>
    <x v="4"/>
    <s v="Long Range"/>
    <n v="28"/>
    <x v="1"/>
    <s v="Ramos-Sanders Tesla"/>
  </r>
  <r>
    <s v="S0540"/>
    <s v="CUST0540"/>
    <x v="385"/>
    <x v="0"/>
    <s v="Europe"/>
    <x v="3"/>
    <s v="Montreal"/>
    <n v="2"/>
    <n v="280000"/>
    <x v="3"/>
    <s v="Performance"/>
    <n v="15"/>
    <x v="1"/>
    <s v="Jimenez-Jones Tesla"/>
  </r>
  <r>
    <s v="S0541"/>
    <s v="CUST0541"/>
    <x v="386"/>
    <x v="1"/>
    <s v="Europe"/>
    <x v="5"/>
    <s v="San Francisco"/>
    <n v="1"/>
    <n v="126000"/>
    <x v="3"/>
    <s v="Performance"/>
    <n v="50"/>
    <x v="1"/>
    <s v="King-Alexander Tesla"/>
  </r>
  <r>
    <s v="S0542"/>
    <s v="CUST0542"/>
    <x v="129"/>
    <x v="0"/>
    <s v="Europe"/>
    <x v="5"/>
    <s v="New York"/>
    <n v="2"/>
    <n v="280000"/>
    <x v="2"/>
    <s v="Performance"/>
    <n v="38"/>
    <x v="1"/>
    <s v="Carney-Miles Tesla"/>
  </r>
  <r>
    <s v="S0543"/>
    <s v="CUST0543"/>
    <x v="387"/>
    <x v="2"/>
    <s v="North America"/>
    <x v="3"/>
    <s v="Montreal"/>
    <n v="5"/>
    <n v="420000"/>
    <x v="1"/>
    <s v="Performance"/>
    <n v="57"/>
    <x v="0"/>
    <s v="Zuniga PLC Tesla"/>
  </r>
  <r>
    <s v="S0544"/>
    <s v="CUST0544"/>
    <x v="40"/>
    <x v="1"/>
    <s v="North America"/>
    <x v="5"/>
    <s v="Houston"/>
    <n v="2"/>
    <n v="216000"/>
    <x v="0"/>
    <s v="Long Range"/>
    <n v="50"/>
    <x v="0"/>
    <s v="Schaefer, Curry and Smith Tesla"/>
  </r>
  <r>
    <s v="S0545"/>
    <s v="CUST0545"/>
    <x v="388"/>
    <x v="2"/>
    <s v="Europe"/>
    <x v="9"/>
    <s v="Sapporo"/>
    <n v="1"/>
    <n v="84000"/>
    <x v="0"/>
    <s v="Performance"/>
    <n v="40"/>
    <x v="0"/>
    <s v="Barrera Ltd Tesla"/>
  </r>
  <r>
    <s v="S0546"/>
    <s v="CUST0546"/>
    <x v="389"/>
    <x v="2"/>
    <s v="Asia"/>
    <x v="9"/>
    <s v="Osaka"/>
    <n v="3"/>
    <n v="180000"/>
    <x v="2"/>
    <s v="Standard Range"/>
    <n v="16"/>
    <x v="0"/>
    <s v="Griffin-Peterson Tesla"/>
  </r>
  <r>
    <s v="S0547"/>
    <s v="CUST0547"/>
    <x v="390"/>
    <x v="2"/>
    <s v="North America"/>
    <x v="7"/>
    <s v="Brisbane"/>
    <n v="1"/>
    <n v="60000"/>
    <x v="3"/>
    <s v="Standard Range"/>
    <n v="17"/>
    <x v="1"/>
    <s v="Garza-Jones Tesla"/>
  </r>
  <r>
    <s v="S0548"/>
    <s v="CUST0548"/>
    <x v="3"/>
    <x v="1"/>
    <s v="Asia"/>
    <x v="3"/>
    <s v="Vancouver"/>
    <n v="5"/>
    <n v="450000"/>
    <x v="2"/>
    <s v="Standard Range"/>
    <n v="29"/>
    <x v="0"/>
    <s v="Harris LLC Tesla"/>
  </r>
  <r>
    <s v="S0549"/>
    <s v="CUST0549"/>
    <x v="133"/>
    <x v="1"/>
    <s v="Asia"/>
    <x v="0"/>
    <s v="Chennai"/>
    <n v="4"/>
    <n v="432000"/>
    <x v="2"/>
    <s v="Long Range"/>
    <n v="19"/>
    <x v="1"/>
    <s v="Ortega PLC Tesla"/>
  </r>
  <r>
    <s v="S0550"/>
    <s v="CUST0550"/>
    <x v="81"/>
    <x v="2"/>
    <s v="Europe"/>
    <x v="0"/>
    <s v="Chennai"/>
    <n v="2"/>
    <n v="144000"/>
    <x v="2"/>
    <s v="Long Range"/>
    <n v="18"/>
    <x v="0"/>
    <s v="Thomas Group Tesla"/>
  </r>
  <r>
    <s v="S0551"/>
    <s v="CUST0551"/>
    <x v="125"/>
    <x v="3"/>
    <s v="Asia"/>
    <x v="6"/>
    <s v="London"/>
    <n v="4"/>
    <n v="252000"/>
    <x v="2"/>
    <s v="Performance"/>
    <n v="25"/>
    <x v="0"/>
    <s v="English-Miller Tesla"/>
  </r>
  <r>
    <s v="S0552"/>
    <s v="CUST0552"/>
    <x v="391"/>
    <x v="0"/>
    <s v="Europe"/>
    <x v="4"/>
    <s v="Fortaleza"/>
    <n v="4"/>
    <n v="560000"/>
    <x v="1"/>
    <s v="Performance"/>
    <n v="6"/>
    <x v="1"/>
    <s v="Chang-Simpson Tesla"/>
  </r>
  <r>
    <s v="S0553"/>
    <s v="CUST0553"/>
    <x v="392"/>
    <x v="1"/>
    <s v="Asia"/>
    <x v="7"/>
    <s v="Sydney"/>
    <n v="2"/>
    <n v="216000"/>
    <x v="0"/>
    <s v="Long Range"/>
    <n v="37"/>
    <x v="0"/>
    <s v="Flores LLC Tesla"/>
  </r>
  <r>
    <s v="S0554"/>
    <s v="CUST0554"/>
    <x v="393"/>
    <x v="2"/>
    <s v="Europe"/>
    <x v="9"/>
    <s v="Nagoya"/>
    <n v="5"/>
    <n v="420000"/>
    <x v="4"/>
    <s v="Performance"/>
    <n v="44"/>
    <x v="1"/>
    <s v="Miller Group Tesla"/>
  </r>
  <r>
    <s v="S0555"/>
    <s v="CUST0555"/>
    <x v="394"/>
    <x v="3"/>
    <s v="Asia"/>
    <x v="7"/>
    <s v="Brisbane"/>
    <n v="5"/>
    <n v="225000"/>
    <x v="0"/>
    <s v="Standard Range"/>
    <n v="21"/>
    <x v="1"/>
    <s v="Thornton, Gonzales and Buckley Tesla"/>
  </r>
  <r>
    <s v="S0556"/>
    <s v="CUST0556"/>
    <x v="363"/>
    <x v="0"/>
    <s v="Asia"/>
    <x v="3"/>
    <s v="Calgary"/>
    <n v="4"/>
    <n v="400000"/>
    <x v="2"/>
    <s v="Standard Range"/>
    <n v="42"/>
    <x v="0"/>
    <s v="Meza-Smith Tesla"/>
  </r>
  <r>
    <s v="S0557"/>
    <s v="CUST0557"/>
    <x v="395"/>
    <x v="2"/>
    <s v="Asia"/>
    <x v="2"/>
    <s v="Frankfurt"/>
    <n v="3"/>
    <n v="180000"/>
    <x v="4"/>
    <s v="Standard Range"/>
    <n v="39"/>
    <x v="1"/>
    <s v="Carlson Group Tesla"/>
  </r>
  <r>
    <s v="S0558"/>
    <s v="CUST0558"/>
    <x v="396"/>
    <x v="0"/>
    <s v="Asia"/>
    <x v="7"/>
    <s v="Brisbane"/>
    <n v="3"/>
    <n v="420000"/>
    <x v="1"/>
    <s v="Performance"/>
    <n v="23"/>
    <x v="1"/>
    <s v="Moreno, Lee and Smith Tesla"/>
  </r>
  <r>
    <s v="S0559"/>
    <s v="CUST0559"/>
    <x v="397"/>
    <x v="2"/>
    <s v="Asia"/>
    <x v="8"/>
    <s v="Chengdu"/>
    <n v="2"/>
    <n v="120000"/>
    <x v="2"/>
    <s v="Standard Range"/>
    <n v="33"/>
    <x v="1"/>
    <s v="Vega PLC Tesla"/>
  </r>
  <r>
    <s v="S0560"/>
    <s v="CUST0560"/>
    <x v="398"/>
    <x v="1"/>
    <s v="Asia"/>
    <x v="6"/>
    <s v="Liverpool"/>
    <n v="2"/>
    <n v="216000"/>
    <x v="3"/>
    <s v="Long Range"/>
    <n v="22"/>
    <x v="1"/>
    <s v="Patel-Nichols Tesla"/>
  </r>
  <r>
    <s v="S0561"/>
    <s v="CUST0561"/>
    <x v="399"/>
    <x v="2"/>
    <s v="Europe"/>
    <x v="6"/>
    <s v="Leeds"/>
    <n v="2"/>
    <n v="168000"/>
    <x v="2"/>
    <s v="Performance"/>
    <n v="37"/>
    <x v="0"/>
    <s v="Juarez, Davidson and Allen Tesla"/>
  </r>
  <r>
    <s v="S0562"/>
    <s v="CUST0562"/>
    <x v="142"/>
    <x v="3"/>
    <s v="North America"/>
    <x v="9"/>
    <s v="Nagoya"/>
    <n v="2"/>
    <n v="108000"/>
    <x v="4"/>
    <s v="Long Range"/>
    <n v="52"/>
    <x v="0"/>
    <s v="Young and Sons Tesla"/>
  </r>
  <r>
    <s v="S0563"/>
    <s v="CUST0563"/>
    <x v="400"/>
    <x v="0"/>
    <s v="North America"/>
    <x v="5"/>
    <s v="Los Angeles"/>
    <n v="3"/>
    <n v="420000"/>
    <x v="4"/>
    <s v="Performance"/>
    <n v="57"/>
    <x v="1"/>
    <s v="Craig-Rivers Tesla"/>
  </r>
  <r>
    <s v="S0564"/>
    <s v="CUST0564"/>
    <x v="187"/>
    <x v="2"/>
    <s v="North America"/>
    <x v="6"/>
    <s v="Manchester"/>
    <n v="1"/>
    <n v="72000"/>
    <x v="3"/>
    <s v="Long Range"/>
    <n v="13"/>
    <x v="0"/>
    <s v="Anderson and Sons Tesla"/>
  </r>
  <r>
    <s v="S0565"/>
    <s v="CUST0565"/>
    <x v="401"/>
    <x v="3"/>
    <s v="Europe"/>
    <x v="2"/>
    <s v="Frankfurt"/>
    <n v="1"/>
    <n v="63000"/>
    <x v="1"/>
    <s v="Performance"/>
    <n v="34"/>
    <x v="1"/>
    <s v="Arnold and Sons Tesla"/>
  </r>
  <r>
    <s v="S0566"/>
    <s v="CUST0566"/>
    <x v="353"/>
    <x v="1"/>
    <s v="Asia"/>
    <x v="2"/>
    <s v="Berlin"/>
    <n v="3"/>
    <n v="270000"/>
    <x v="0"/>
    <s v="Standard Range"/>
    <n v="41"/>
    <x v="0"/>
    <s v="Davis, Robertson and Gilmore Tesla"/>
  </r>
  <r>
    <s v="S0567"/>
    <s v="CUST0567"/>
    <x v="117"/>
    <x v="3"/>
    <s v="North America"/>
    <x v="9"/>
    <s v="Osaka"/>
    <n v="2"/>
    <n v="126000"/>
    <x v="3"/>
    <s v="Performance"/>
    <n v="47"/>
    <x v="1"/>
    <s v="Moore, Campbell and Bailey Tesla"/>
  </r>
  <r>
    <s v="S0568"/>
    <s v="CUST0568"/>
    <x v="205"/>
    <x v="2"/>
    <s v="North America"/>
    <x v="5"/>
    <s v="Los Angeles"/>
    <n v="2"/>
    <n v="168000"/>
    <x v="2"/>
    <s v="Performance"/>
    <n v="51"/>
    <x v="0"/>
    <s v="Farmer Group Tesla"/>
  </r>
  <r>
    <s v="S0569"/>
    <s v="CUST0569"/>
    <x v="402"/>
    <x v="1"/>
    <s v="Asia"/>
    <x v="4"/>
    <s v="SÃ£o Paulo"/>
    <n v="5"/>
    <n v="540000"/>
    <x v="1"/>
    <s v="Long Range"/>
    <n v="46"/>
    <x v="0"/>
    <s v="Jimenez-Porter Tesla"/>
  </r>
  <r>
    <s v="S0570"/>
    <s v="CUST0570"/>
    <x v="403"/>
    <x v="1"/>
    <s v="Asia"/>
    <x v="1"/>
    <s v="Paris"/>
    <n v="2"/>
    <n v="216000"/>
    <x v="2"/>
    <s v="Long Range"/>
    <n v="15"/>
    <x v="1"/>
    <s v="Sanchez, Miller and Williams Tesla"/>
  </r>
  <r>
    <s v="S0571"/>
    <s v="CUST0571"/>
    <x v="404"/>
    <x v="2"/>
    <s v="North America"/>
    <x v="4"/>
    <s v="Fortaleza"/>
    <n v="1"/>
    <n v="60000"/>
    <x v="0"/>
    <s v="Standard Range"/>
    <n v="25"/>
    <x v="0"/>
    <s v="Hurley Ltd Tesla"/>
  </r>
  <r>
    <s v="S0572"/>
    <s v="CUST0572"/>
    <x v="405"/>
    <x v="2"/>
    <s v="Europe"/>
    <x v="4"/>
    <s v="Salvador"/>
    <n v="1"/>
    <n v="72000"/>
    <x v="3"/>
    <s v="Long Range"/>
    <n v="47"/>
    <x v="0"/>
    <s v="Ewing-King Tesla"/>
  </r>
  <r>
    <s v="S0573"/>
    <s v="CUST0573"/>
    <x v="82"/>
    <x v="3"/>
    <s v="Asia"/>
    <x v="6"/>
    <s v="Manchester"/>
    <n v="5"/>
    <n v="315000"/>
    <x v="1"/>
    <s v="Performance"/>
    <n v="55"/>
    <x v="0"/>
    <s v="Garner-Torres Tesla"/>
  </r>
  <r>
    <s v="S0574"/>
    <s v="CUST0574"/>
    <x v="47"/>
    <x v="0"/>
    <s v="North America"/>
    <x v="5"/>
    <s v="Los Angeles"/>
    <n v="2"/>
    <n v="280000"/>
    <x v="3"/>
    <s v="Performance"/>
    <n v="30"/>
    <x v="0"/>
    <s v="Lopez-Watkins Tesla"/>
  </r>
  <r>
    <s v="S0575"/>
    <s v="CUST0575"/>
    <x v="406"/>
    <x v="2"/>
    <s v="North America"/>
    <x v="6"/>
    <s v="Liverpool"/>
    <n v="3"/>
    <n v="252000"/>
    <x v="2"/>
    <s v="Performance"/>
    <n v="26"/>
    <x v="0"/>
    <s v="Strickland Inc Tesla"/>
  </r>
  <r>
    <s v="S0576"/>
    <s v="CUST0576"/>
    <x v="407"/>
    <x v="0"/>
    <s v="Europe"/>
    <x v="9"/>
    <s v="Yokohama"/>
    <n v="4"/>
    <n v="480000"/>
    <x v="4"/>
    <s v="Long Range"/>
    <n v="54"/>
    <x v="1"/>
    <s v="Robinson, Green and Moore Tesla"/>
  </r>
  <r>
    <s v="S0577"/>
    <s v="CUST0577"/>
    <x v="122"/>
    <x v="3"/>
    <s v="North America"/>
    <x v="4"/>
    <s v="SÃ£o Paulo"/>
    <n v="4"/>
    <n v="180000"/>
    <x v="2"/>
    <s v="Standard Range"/>
    <n v="5"/>
    <x v="0"/>
    <s v="Ibarra-Franklin Tesla"/>
  </r>
  <r>
    <s v="S0578"/>
    <s v="CUST0578"/>
    <x v="138"/>
    <x v="3"/>
    <s v="North America"/>
    <x v="0"/>
    <s v="Delhi"/>
    <n v="2"/>
    <n v="108000"/>
    <x v="4"/>
    <s v="Long Range"/>
    <n v="28"/>
    <x v="1"/>
    <s v="Walker LLC Tesla"/>
  </r>
  <r>
    <s v="S0579"/>
    <s v="CUST0579"/>
    <x v="408"/>
    <x v="2"/>
    <s v="Europe"/>
    <x v="3"/>
    <s v="Calgary"/>
    <n v="4"/>
    <n v="288000"/>
    <x v="2"/>
    <s v="Long Range"/>
    <n v="16"/>
    <x v="1"/>
    <s v="Wright, Lewis and Smith Tesla"/>
  </r>
  <r>
    <s v="S0580"/>
    <s v="CUST0580"/>
    <x v="197"/>
    <x v="3"/>
    <s v="Europe"/>
    <x v="9"/>
    <s v="Sapporo"/>
    <n v="4"/>
    <n v="216000"/>
    <x v="0"/>
    <s v="Long Range"/>
    <n v="40"/>
    <x v="0"/>
    <s v="Hardy PLC Tesla"/>
  </r>
  <r>
    <s v="S0581"/>
    <s v="CUST0581"/>
    <x v="92"/>
    <x v="0"/>
    <s v="Asia"/>
    <x v="3"/>
    <s v="Calgary"/>
    <n v="3"/>
    <n v="360000"/>
    <x v="3"/>
    <s v="Long Range"/>
    <n v="52"/>
    <x v="0"/>
    <s v="Kelley LLC Tesla"/>
  </r>
  <r>
    <s v="S0582"/>
    <s v="CUST0582"/>
    <x v="403"/>
    <x v="1"/>
    <s v="North America"/>
    <x v="5"/>
    <s v="San Francisco"/>
    <n v="4"/>
    <n v="504000"/>
    <x v="0"/>
    <s v="Performance"/>
    <n v="14"/>
    <x v="0"/>
    <s v="Lee, Jackson and Parrish Tesla"/>
  </r>
  <r>
    <s v="S0583"/>
    <s v="CUST0583"/>
    <x v="235"/>
    <x v="2"/>
    <s v="North America"/>
    <x v="0"/>
    <s v="Bangalore"/>
    <n v="5"/>
    <n v="360000"/>
    <x v="0"/>
    <s v="Long Range"/>
    <n v="52"/>
    <x v="1"/>
    <s v="Ingram Group Tesla"/>
  </r>
  <r>
    <s v="S0584"/>
    <s v="CUST0584"/>
    <x v="177"/>
    <x v="3"/>
    <s v="Europe"/>
    <x v="3"/>
    <s v="Ottawa"/>
    <n v="5"/>
    <n v="270000"/>
    <x v="0"/>
    <s v="Long Range"/>
    <n v="21"/>
    <x v="1"/>
    <s v="Duncan-Carpenter Tesla"/>
  </r>
  <r>
    <s v="S0585"/>
    <s v="CUST0585"/>
    <x v="409"/>
    <x v="0"/>
    <s v="Asia"/>
    <x v="8"/>
    <s v="Shenzhen"/>
    <n v="2"/>
    <n v="280000"/>
    <x v="0"/>
    <s v="Performance"/>
    <n v="30"/>
    <x v="1"/>
    <s v="Moreno, Fox and Baker Tesla"/>
  </r>
  <r>
    <s v="S0586"/>
    <s v="CUST0586"/>
    <x v="410"/>
    <x v="1"/>
    <s v="North America"/>
    <x v="3"/>
    <s v="Montreal"/>
    <n v="1"/>
    <n v="108000"/>
    <x v="2"/>
    <s v="Long Range"/>
    <n v="22"/>
    <x v="1"/>
    <s v="Rice PLC Tesla"/>
  </r>
  <r>
    <s v="S0587"/>
    <s v="CUST0587"/>
    <x v="160"/>
    <x v="3"/>
    <s v="North America"/>
    <x v="6"/>
    <s v="Manchester"/>
    <n v="4"/>
    <n v="216000"/>
    <x v="1"/>
    <s v="Long Range"/>
    <n v="44"/>
    <x v="1"/>
    <s v="Reyes-Rivera Tesla"/>
  </r>
  <r>
    <s v="S0588"/>
    <s v="CUST0588"/>
    <x v="22"/>
    <x v="1"/>
    <s v="Europe"/>
    <x v="6"/>
    <s v="Leeds"/>
    <n v="5"/>
    <n v="450000"/>
    <x v="3"/>
    <s v="Standard Range"/>
    <n v="11"/>
    <x v="1"/>
    <s v="Jones-Winters Tesla"/>
  </r>
  <r>
    <s v="S0589"/>
    <s v="CUST0589"/>
    <x v="128"/>
    <x v="2"/>
    <s v="North America"/>
    <x v="7"/>
    <s v="Adelaide"/>
    <n v="2"/>
    <n v="120000"/>
    <x v="3"/>
    <s v="Standard Range"/>
    <n v="56"/>
    <x v="1"/>
    <s v="Paul, Smith and Vazquez Tesla"/>
  </r>
  <r>
    <s v="S0590"/>
    <s v="CUST0590"/>
    <x v="358"/>
    <x v="2"/>
    <s v="North America"/>
    <x v="5"/>
    <s v="Houston"/>
    <n v="1"/>
    <n v="60000"/>
    <x v="2"/>
    <s v="Standard Range"/>
    <n v="6"/>
    <x v="0"/>
    <s v="Burke and Sons Tesla"/>
  </r>
  <r>
    <s v="S0591"/>
    <s v="CUST0591"/>
    <x v="174"/>
    <x v="1"/>
    <s v="North America"/>
    <x v="4"/>
    <s v="Fortaleza"/>
    <n v="3"/>
    <n v="324000"/>
    <x v="4"/>
    <s v="Long Range"/>
    <n v="6"/>
    <x v="0"/>
    <s v="Jimenez LLC Tesla"/>
  </r>
  <r>
    <s v="S0592"/>
    <s v="CUST0592"/>
    <x v="216"/>
    <x v="3"/>
    <s v="Asia"/>
    <x v="1"/>
    <s v="Nice"/>
    <n v="3"/>
    <n v="189000"/>
    <x v="4"/>
    <s v="Performance"/>
    <n v="37"/>
    <x v="1"/>
    <s v="Romero, Burke and Lee Tesla"/>
  </r>
  <r>
    <s v="S0593"/>
    <s v="CUST0593"/>
    <x v="411"/>
    <x v="1"/>
    <s v="Europe"/>
    <x v="5"/>
    <s v="New York"/>
    <n v="3"/>
    <n v="378000"/>
    <x v="2"/>
    <s v="Performance"/>
    <n v="27"/>
    <x v="0"/>
    <s v="Lowe Group Tesla"/>
  </r>
  <r>
    <s v="S0594"/>
    <s v="CUST0594"/>
    <x v="283"/>
    <x v="0"/>
    <s v="North America"/>
    <x v="6"/>
    <s v="Leeds"/>
    <n v="3"/>
    <n v="300000"/>
    <x v="2"/>
    <s v="Standard Range"/>
    <n v="9"/>
    <x v="0"/>
    <s v="Kent, Myers and Powers Tesla"/>
  </r>
  <r>
    <s v="S0595"/>
    <s v="CUST0595"/>
    <x v="381"/>
    <x v="1"/>
    <s v="Asia"/>
    <x v="1"/>
    <s v="Lyon"/>
    <n v="4"/>
    <n v="432000"/>
    <x v="3"/>
    <s v="Long Range"/>
    <n v="5"/>
    <x v="1"/>
    <s v="Campbell Group Tesla"/>
  </r>
  <r>
    <s v="S0596"/>
    <s v="CUST0596"/>
    <x v="394"/>
    <x v="1"/>
    <s v="North America"/>
    <x v="0"/>
    <s v="Mumbai"/>
    <n v="1"/>
    <n v="108000"/>
    <x v="4"/>
    <s v="Long Range"/>
    <n v="43"/>
    <x v="1"/>
    <s v="Bradley, Stone and Nunez Tesla"/>
  </r>
  <r>
    <s v="S0597"/>
    <s v="CUST0597"/>
    <x v="344"/>
    <x v="1"/>
    <s v="Europe"/>
    <x v="4"/>
    <s v="BrasÃ­lia"/>
    <n v="4"/>
    <n v="504000"/>
    <x v="0"/>
    <s v="Performance"/>
    <n v="15"/>
    <x v="1"/>
    <s v="Gill-Hill Tesla"/>
  </r>
  <r>
    <s v="S0598"/>
    <s v="CUST0598"/>
    <x v="124"/>
    <x v="1"/>
    <s v="Europe"/>
    <x v="4"/>
    <s v="SÃ£o Paulo"/>
    <n v="3"/>
    <n v="270000"/>
    <x v="0"/>
    <s v="Standard Range"/>
    <n v="52"/>
    <x v="0"/>
    <s v="Massey-Todd Tesla"/>
  </r>
  <r>
    <s v="S0599"/>
    <s v="CUST0599"/>
    <x v="412"/>
    <x v="2"/>
    <s v="Asia"/>
    <x v="8"/>
    <s v="Shanghai"/>
    <n v="1"/>
    <n v="84000"/>
    <x v="1"/>
    <s v="Performance"/>
    <n v="38"/>
    <x v="1"/>
    <s v="Scott, Brown and Schmitt Tesla"/>
  </r>
  <r>
    <s v="S0600"/>
    <s v="CUST0600"/>
    <x v="202"/>
    <x v="1"/>
    <s v="North America"/>
    <x v="0"/>
    <s v="Chennai"/>
    <n v="1"/>
    <n v="90000"/>
    <x v="0"/>
    <s v="Standard Range"/>
    <n v="38"/>
    <x v="0"/>
    <s v="Frederick-Carey Tesla"/>
  </r>
  <r>
    <s v="S0601"/>
    <s v="CUST0601"/>
    <x v="24"/>
    <x v="3"/>
    <s v="North America"/>
    <x v="9"/>
    <s v="Yokohama"/>
    <n v="4"/>
    <n v="252000"/>
    <x v="0"/>
    <s v="Performance"/>
    <n v="44"/>
    <x v="0"/>
    <s v="Nguyen-Wall Tesla"/>
  </r>
  <r>
    <s v="S0602"/>
    <s v="CUST0602"/>
    <x v="329"/>
    <x v="1"/>
    <s v="Europe"/>
    <x v="4"/>
    <s v="Fortaleza"/>
    <n v="4"/>
    <n v="504000"/>
    <x v="2"/>
    <s v="Performance"/>
    <n v="39"/>
    <x v="1"/>
    <s v="Anderson-Huang Tesla"/>
  </r>
  <r>
    <s v="S0603"/>
    <s v="CUST0603"/>
    <x v="413"/>
    <x v="1"/>
    <s v="North America"/>
    <x v="8"/>
    <s v="Chengdu"/>
    <n v="1"/>
    <n v="90000"/>
    <x v="1"/>
    <s v="Standard Range"/>
    <n v="18"/>
    <x v="0"/>
    <s v="Rice LLC Tesla"/>
  </r>
  <r>
    <s v="S0604"/>
    <s v="CUST0604"/>
    <x v="414"/>
    <x v="2"/>
    <s v="North America"/>
    <x v="4"/>
    <s v="Salvador"/>
    <n v="4"/>
    <n v="336000"/>
    <x v="4"/>
    <s v="Performance"/>
    <n v="31"/>
    <x v="1"/>
    <s v="Trujillo-Key Tesla"/>
  </r>
  <r>
    <s v="S0605"/>
    <s v="CUST0605"/>
    <x v="341"/>
    <x v="3"/>
    <s v="North America"/>
    <x v="9"/>
    <s v="Yokohama"/>
    <n v="2"/>
    <n v="90000"/>
    <x v="3"/>
    <s v="Standard Range"/>
    <n v="43"/>
    <x v="1"/>
    <s v="Calhoun-Patel Tesla"/>
  </r>
  <r>
    <s v="S0606"/>
    <s v="CUST0606"/>
    <x v="415"/>
    <x v="2"/>
    <s v="North America"/>
    <x v="9"/>
    <s v="Sapporo"/>
    <n v="3"/>
    <n v="180000"/>
    <x v="2"/>
    <s v="Standard Range"/>
    <n v="14"/>
    <x v="1"/>
    <s v="Gordon, Williams and Olson Tesla"/>
  </r>
  <r>
    <s v="S0607"/>
    <s v="CUST0607"/>
    <x v="205"/>
    <x v="1"/>
    <s v="North America"/>
    <x v="1"/>
    <s v="Marseille"/>
    <n v="5"/>
    <n v="540000"/>
    <x v="1"/>
    <s v="Long Range"/>
    <n v="37"/>
    <x v="0"/>
    <s v="Smith-Curtis Tesla"/>
  </r>
  <r>
    <s v="S0608"/>
    <s v="CUST0608"/>
    <x v="416"/>
    <x v="2"/>
    <s v="Asia"/>
    <x v="4"/>
    <s v="Rio de Janeiro"/>
    <n v="4"/>
    <n v="288000"/>
    <x v="2"/>
    <s v="Long Range"/>
    <n v="40"/>
    <x v="1"/>
    <s v="Rivera LLC Tesla"/>
  </r>
  <r>
    <s v="S0609"/>
    <s v="CUST0609"/>
    <x v="196"/>
    <x v="1"/>
    <s v="Asia"/>
    <x v="4"/>
    <s v="SÃ£o Paulo"/>
    <n v="4"/>
    <n v="504000"/>
    <x v="3"/>
    <s v="Performance"/>
    <n v="44"/>
    <x v="0"/>
    <s v="Carey Ltd Tesla"/>
  </r>
  <r>
    <s v="S0610"/>
    <s v="CUST0610"/>
    <x v="417"/>
    <x v="2"/>
    <s v="North America"/>
    <x v="2"/>
    <s v="Cologne"/>
    <n v="1"/>
    <n v="72000"/>
    <x v="0"/>
    <s v="Long Range"/>
    <n v="8"/>
    <x v="1"/>
    <s v="Wiggins-Page Tesla"/>
  </r>
  <r>
    <s v="S0611"/>
    <s v="CUST0611"/>
    <x v="418"/>
    <x v="0"/>
    <s v="Europe"/>
    <x v="2"/>
    <s v="Hamburg"/>
    <n v="5"/>
    <n v="500000"/>
    <x v="1"/>
    <s v="Standard Range"/>
    <n v="6"/>
    <x v="0"/>
    <s v="Harris, Harrison and Baker Tesla"/>
  </r>
  <r>
    <s v="S0612"/>
    <s v="CUST0612"/>
    <x v="167"/>
    <x v="0"/>
    <s v="Europe"/>
    <x v="9"/>
    <s v="Sapporo"/>
    <n v="4"/>
    <n v="480000"/>
    <x v="0"/>
    <s v="Long Range"/>
    <n v="30"/>
    <x v="1"/>
    <s v="Smith Inc Tesla"/>
  </r>
  <r>
    <s v="S0613"/>
    <s v="CUST0613"/>
    <x v="9"/>
    <x v="2"/>
    <s v="Europe"/>
    <x v="1"/>
    <s v="Lyon"/>
    <n v="1"/>
    <n v="72000"/>
    <x v="4"/>
    <s v="Long Range"/>
    <n v="44"/>
    <x v="0"/>
    <s v="Russell and Sons Tesla"/>
  </r>
  <r>
    <s v="S0614"/>
    <s v="CUST0614"/>
    <x v="217"/>
    <x v="1"/>
    <s v="Asia"/>
    <x v="7"/>
    <s v="Perth"/>
    <n v="1"/>
    <n v="90000"/>
    <x v="1"/>
    <s v="Standard Range"/>
    <n v="15"/>
    <x v="1"/>
    <s v="Rodriguez, White and Obrien Tesla"/>
  </r>
  <r>
    <s v="S0615"/>
    <s v="CUST0615"/>
    <x v="131"/>
    <x v="3"/>
    <s v="Europe"/>
    <x v="1"/>
    <s v="Paris"/>
    <n v="3"/>
    <n v="135000"/>
    <x v="0"/>
    <s v="Standard Range"/>
    <n v="52"/>
    <x v="0"/>
    <s v="Brady-May Tesla"/>
  </r>
  <r>
    <s v="S0616"/>
    <s v="CUST0616"/>
    <x v="419"/>
    <x v="1"/>
    <s v="Europe"/>
    <x v="8"/>
    <s v="Chengdu"/>
    <n v="2"/>
    <n v="252000"/>
    <x v="3"/>
    <s v="Performance"/>
    <n v="24"/>
    <x v="1"/>
    <s v="Martin, Price and Carpenter Tesla"/>
  </r>
  <r>
    <s v="S0617"/>
    <s v="CUST0617"/>
    <x v="420"/>
    <x v="3"/>
    <s v="North America"/>
    <x v="9"/>
    <s v="Yokohama"/>
    <n v="3"/>
    <n v="162000"/>
    <x v="1"/>
    <s v="Long Range"/>
    <n v="52"/>
    <x v="0"/>
    <s v="Young-Ellis Tesla"/>
  </r>
  <r>
    <s v="S0618"/>
    <s v="CUST0618"/>
    <x v="421"/>
    <x v="3"/>
    <s v="North America"/>
    <x v="4"/>
    <s v="Salvador"/>
    <n v="4"/>
    <n v="252000"/>
    <x v="3"/>
    <s v="Performance"/>
    <n v="52"/>
    <x v="1"/>
    <s v="Davidson LLC Tesla"/>
  </r>
  <r>
    <s v="S0619"/>
    <s v="CUST0619"/>
    <x v="422"/>
    <x v="2"/>
    <s v="Europe"/>
    <x v="2"/>
    <s v="Berlin"/>
    <n v="4"/>
    <n v="336000"/>
    <x v="2"/>
    <s v="Performance"/>
    <n v="48"/>
    <x v="1"/>
    <s v="Morris LLC Tesla"/>
  </r>
  <r>
    <s v="S0620"/>
    <s v="CUST0620"/>
    <x v="423"/>
    <x v="1"/>
    <s v="Asia"/>
    <x v="4"/>
    <s v="SÃ£o Paulo"/>
    <n v="5"/>
    <n v="540000"/>
    <x v="0"/>
    <s v="Long Range"/>
    <n v="43"/>
    <x v="1"/>
    <s v="Curtis-Fowler Tesla"/>
  </r>
  <r>
    <s v="S0621"/>
    <s v="CUST0621"/>
    <x v="356"/>
    <x v="3"/>
    <s v="Asia"/>
    <x v="1"/>
    <s v="Paris"/>
    <n v="4"/>
    <n v="252000"/>
    <x v="2"/>
    <s v="Performance"/>
    <n v="59"/>
    <x v="0"/>
    <s v="Barrett and Sons Tesla"/>
  </r>
  <r>
    <s v="S0622"/>
    <s v="CUST0622"/>
    <x v="424"/>
    <x v="1"/>
    <s v="Europe"/>
    <x v="7"/>
    <s v="Perth"/>
    <n v="2"/>
    <n v="252000"/>
    <x v="3"/>
    <s v="Performance"/>
    <n v="38"/>
    <x v="0"/>
    <s v="Turner, Kirk and Martinez Tesla"/>
  </r>
  <r>
    <s v="S0623"/>
    <s v="CUST0623"/>
    <x v="290"/>
    <x v="1"/>
    <s v="Asia"/>
    <x v="6"/>
    <s v="London"/>
    <n v="3"/>
    <n v="378000"/>
    <x v="1"/>
    <s v="Performance"/>
    <n v="13"/>
    <x v="1"/>
    <s v="Wilson PLC Tesla"/>
  </r>
  <r>
    <s v="S0624"/>
    <s v="CUST0624"/>
    <x v="170"/>
    <x v="0"/>
    <s v="North America"/>
    <x v="5"/>
    <s v="New York"/>
    <n v="5"/>
    <n v="500000"/>
    <x v="4"/>
    <s v="Standard Range"/>
    <n v="25"/>
    <x v="0"/>
    <s v="Williams PLC Tesla"/>
  </r>
  <r>
    <s v="S0625"/>
    <s v="CUST0625"/>
    <x v="97"/>
    <x v="2"/>
    <s v="North America"/>
    <x v="1"/>
    <s v="Nice"/>
    <n v="5"/>
    <n v="420000"/>
    <x v="4"/>
    <s v="Performance"/>
    <n v="18"/>
    <x v="0"/>
    <s v="Landry-Wise Tesla"/>
  </r>
  <r>
    <s v="S0626"/>
    <s v="CUST0626"/>
    <x v="397"/>
    <x v="2"/>
    <s v="Asia"/>
    <x v="0"/>
    <s v="Delhi"/>
    <n v="2"/>
    <n v="120000"/>
    <x v="2"/>
    <s v="Standard Range"/>
    <n v="31"/>
    <x v="1"/>
    <s v="Hodges, Gonzalez and Smith Tesla"/>
  </r>
  <r>
    <s v="S0627"/>
    <s v="CUST0627"/>
    <x v="313"/>
    <x v="3"/>
    <s v="Europe"/>
    <x v="5"/>
    <s v="San Francisco"/>
    <n v="5"/>
    <n v="225000"/>
    <x v="3"/>
    <s v="Standard Range"/>
    <n v="45"/>
    <x v="0"/>
    <s v="Hale, Pollard and Dean Tesla"/>
  </r>
  <r>
    <s v="S0628"/>
    <s v="CUST0628"/>
    <x v="425"/>
    <x v="0"/>
    <s v="Asia"/>
    <x v="6"/>
    <s v="Birmingham"/>
    <n v="1"/>
    <n v="140000"/>
    <x v="4"/>
    <s v="Performance"/>
    <n v="53"/>
    <x v="0"/>
    <s v="Allen PLC Tesla"/>
  </r>
  <r>
    <s v="S0629"/>
    <s v="CUST0629"/>
    <x v="426"/>
    <x v="1"/>
    <s v="Europe"/>
    <x v="6"/>
    <s v="Manchester"/>
    <n v="1"/>
    <n v="90000"/>
    <x v="4"/>
    <s v="Standard Range"/>
    <n v="32"/>
    <x v="0"/>
    <s v="Cooper-Prince Tesla"/>
  </r>
  <r>
    <s v="S0630"/>
    <s v="CUST0630"/>
    <x v="10"/>
    <x v="2"/>
    <s v="North America"/>
    <x v="2"/>
    <s v="Frankfurt"/>
    <n v="1"/>
    <n v="72000"/>
    <x v="0"/>
    <s v="Long Range"/>
    <n v="32"/>
    <x v="0"/>
    <s v="Clark and Sons Tesla"/>
  </r>
  <r>
    <s v="S0631"/>
    <s v="CUST0631"/>
    <x v="322"/>
    <x v="3"/>
    <s v="Europe"/>
    <x v="1"/>
    <s v="Marseille"/>
    <n v="4"/>
    <n v="252000"/>
    <x v="4"/>
    <s v="Performance"/>
    <n v="59"/>
    <x v="0"/>
    <s v="Morales-Berg Tesla"/>
  </r>
  <r>
    <s v="S0632"/>
    <s v="CUST0632"/>
    <x v="132"/>
    <x v="0"/>
    <s v="North America"/>
    <x v="7"/>
    <s v="Brisbane"/>
    <n v="2"/>
    <n v="200000"/>
    <x v="0"/>
    <s v="Standard Range"/>
    <n v="5"/>
    <x v="0"/>
    <s v="Thompson-Carpenter Tesla"/>
  </r>
  <r>
    <s v="S0633"/>
    <s v="CUST0633"/>
    <x v="427"/>
    <x v="1"/>
    <s v="Asia"/>
    <x v="3"/>
    <s v="Calgary"/>
    <n v="2"/>
    <n v="180000"/>
    <x v="0"/>
    <s v="Standard Range"/>
    <n v="29"/>
    <x v="0"/>
    <s v="Brown, Parker and Burns Tesla"/>
  </r>
  <r>
    <s v="S0634"/>
    <s v="CUST0634"/>
    <x v="428"/>
    <x v="3"/>
    <s v="Europe"/>
    <x v="7"/>
    <s v="Perth"/>
    <n v="2"/>
    <n v="108000"/>
    <x v="0"/>
    <s v="Long Range"/>
    <n v="15"/>
    <x v="0"/>
    <s v="Larsen-Allison Tesla"/>
  </r>
  <r>
    <s v="S0635"/>
    <s v="CUST0635"/>
    <x v="429"/>
    <x v="2"/>
    <s v="Asia"/>
    <x v="6"/>
    <s v="London"/>
    <n v="5"/>
    <n v="300000"/>
    <x v="2"/>
    <s v="Standard Range"/>
    <n v="16"/>
    <x v="0"/>
    <s v="Roberts-Navarro Tesla"/>
  </r>
  <r>
    <s v="S0636"/>
    <s v="CUST0636"/>
    <x v="198"/>
    <x v="3"/>
    <s v="Europe"/>
    <x v="7"/>
    <s v="Melbourne"/>
    <n v="1"/>
    <n v="63000"/>
    <x v="4"/>
    <s v="Performance"/>
    <n v="20"/>
    <x v="1"/>
    <s v="Solis LLC Tesla"/>
  </r>
  <r>
    <s v="S0637"/>
    <s v="CUST0637"/>
    <x v="430"/>
    <x v="0"/>
    <s v="North America"/>
    <x v="1"/>
    <s v="Lyon"/>
    <n v="3"/>
    <n v="300000"/>
    <x v="4"/>
    <s v="Standard Range"/>
    <n v="19"/>
    <x v="1"/>
    <s v="Patel-Thomas Tesla"/>
  </r>
  <r>
    <s v="S0638"/>
    <s v="CUST0638"/>
    <x v="431"/>
    <x v="3"/>
    <s v="North America"/>
    <x v="7"/>
    <s v="Melbourne"/>
    <n v="5"/>
    <n v="225000"/>
    <x v="4"/>
    <s v="Standard Range"/>
    <n v="60"/>
    <x v="1"/>
    <s v="Davis PLC Tesla"/>
  </r>
  <r>
    <s v="S0639"/>
    <s v="CUST0639"/>
    <x v="312"/>
    <x v="0"/>
    <s v="Europe"/>
    <x v="4"/>
    <s v="SÃ£o Paulo"/>
    <n v="2"/>
    <n v="200000"/>
    <x v="1"/>
    <s v="Standard Range"/>
    <n v="20"/>
    <x v="0"/>
    <s v="Khan-Reynolds Tesla"/>
  </r>
  <r>
    <s v="S0640"/>
    <s v="CUST0640"/>
    <x v="425"/>
    <x v="0"/>
    <s v="North America"/>
    <x v="6"/>
    <s v="Birmingham"/>
    <n v="2"/>
    <n v="240000"/>
    <x v="0"/>
    <s v="Long Range"/>
    <n v="52"/>
    <x v="0"/>
    <s v="Lopez and Sons Tesla"/>
  </r>
  <r>
    <s v="S0641"/>
    <s v="CUST0641"/>
    <x v="304"/>
    <x v="2"/>
    <s v="North America"/>
    <x v="5"/>
    <s v="San Francisco"/>
    <n v="2"/>
    <n v="168000"/>
    <x v="3"/>
    <s v="Performance"/>
    <n v="22"/>
    <x v="0"/>
    <s v="Collins PLC Tesla"/>
  </r>
  <r>
    <s v="S0642"/>
    <s v="CUST0642"/>
    <x v="310"/>
    <x v="3"/>
    <s v="Europe"/>
    <x v="8"/>
    <s v="Chengdu"/>
    <n v="1"/>
    <n v="63000"/>
    <x v="2"/>
    <s v="Performance"/>
    <n v="57"/>
    <x v="0"/>
    <s v="Hubbard-Escobar Tesla"/>
  </r>
  <r>
    <s v="S0643"/>
    <s v="CUST0643"/>
    <x v="385"/>
    <x v="3"/>
    <s v="Europe"/>
    <x v="0"/>
    <s v="Chennai"/>
    <n v="5"/>
    <n v="315000"/>
    <x v="3"/>
    <s v="Performance"/>
    <n v="42"/>
    <x v="0"/>
    <s v="Lynch LLC Tesla"/>
  </r>
  <r>
    <s v="S0644"/>
    <s v="CUST0644"/>
    <x v="432"/>
    <x v="2"/>
    <s v="Asia"/>
    <x v="0"/>
    <s v="Chennai"/>
    <n v="1"/>
    <n v="84000"/>
    <x v="2"/>
    <s v="Performance"/>
    <n v="15"/>
    <x v="0"/>
    <s v="Preston-Chen Tesla"/>
  </r>
  <r>
    <s v="S0645"/>
    <s v="CUST0645"/>
    <x v="191"/>
    <x v="1"/>
    <s v="North America"/>
    <x v="1"/>
    <s v="Lyon"/>
    <n v="4"/>
    <n v="432000"/>
    <x v="4"/>
    <s v="Long Range"/>
    <n v="16"/>
    <x v="0"/>
    <s v="Walters Ltd Tesla"/>
  </r>
  <r>
    <s v="S0646"/>
    <s v="CUST0646"/>
    <x v="433"/>
    <x v="1"/>
    <s v="North America"/>
    <x v="0"/>
    <s v="Mumbai"/>
    <n v="5"/>
    <n v="540000"/>
    <x v="4"/>
    <s v="Long Range"/>
    <n v="25"/>
    <x v="0"/>
    <s v="Williams and Sons Tesla"/>
  </r>
  <r>
    <s v="S0647"/>
    <s v="CUST0647"/>
    <x v="306"/>
    <x v="2"/>
    <s v="Asia"/>
    <x v="2"/>
    <s v="Hamburg"/>
    <n v="2"/>
    <n v="120000"/>
    <x v="3"/>
    <s v="Standard Range"/>
    <n v="25"/>
    <x v="1"/>
    <s v="Thompson Group Tesla"/>
  </r>
  <r>
    <s v="S0648"/>
    <s v="CUST0648"/>
    <x v="417"/>
    <x v="1"/>
    <s v="Asia"/>
    <x v="0"/>
    <s v="Chennai"/>
    <n v="4"/>
    <n v="360000"/>
    <x v="3"/>
    <s v="Standard Range"/>
    <n v="5"/>
    <x v="0"/>
    <s v="Morgan Inc Tesla"/>
  </r>
  <r>
    <s v="S0649"/>
    <s v="CUST0649"/>
    <x v="434"/>
    <x v="3"/>
    <s v="Asia"/>
    <x v="9"/>
    <s v="Yokohama"/>
    <n v="2"/>
    <n v="90000"/>
    <x v="3"/>
    <s v="Standard Range"/>
    <n v="37"/>
    <x v="0"/>
    <s v="Thomas, Tapia and Edwards Tesla"/>
  </r>
  <r>
    <s v="S0650"/>
    <s v="CUST0650"/>
    <x v="221"/>
    <x v="3"/>
    <s v="North America"/>
    <x v="6"/>
    <s v="Manchester"/>
    <n v="3"/>
    <n v="189000"/>
    <x v="4"/>
    <s v="Performance"/>
    <n v="20"/>
    <x v="0"/>
    <s v="Fletcher-Tucker Tesla"/>
  </r>
  <r>
    <s v="S0651"/>
    <s v="CUST0651"/>
    <x v="230"/>
    <x v="0"/>
    <s v="North America"/>
    <x v="5"/>
    <s v="Chicago"/>
    <n v="5"/>
    <n v="500000"/>
    <x v="1"/>
    <s v="Standard Range"/>
    <n v="15"/>
    <x v="0"/>
    <s v="Moody, Browning and Roy Tesla"/>
  </r>
  <r>
    <s v="S0652"/>
    <s v="CUST0652"/>
    <x v="134"/>
    <x v="1"/>
    <s v="Asia"/>
    <x v="3"/>
    <s v="Montreal"/>
    <n v="1"/>
    <n v="108000"/>
    <x v="3"/>
    <s v="Long Range"/>
    <n v="22"/>
    <x v="1"/>
    <s v="Franklin-Guerrero Tesla"/>
  </r>
  <r>
    <s v="S0653"/>
    <s v="CUST0653"/>
    <x v="435"/>
    <x v="1"/>
    <s v="North America"/>
    <x v="6"/>
    <s v="Liverpool"/>
    <n v="3"/>
    <n v="270000"/>
    <x v="4"/>
    <s v="Standard Range"/>
    <n v="37"/>
    <x v="1"/>
    <s v="Wilson LLC Tesla"/>
  </r>
  <r>
    <s v="S0654"/>
    <s v="CUST0654"/>
    <x v="194"/>
    <x v="0"/>
    <s v="Asia"/>
    <x v="2"/>
    <s v="Berlin"/>
    <n v="5"/>
    <n v="500000"/>
    <x v="2"/>
    <s v="Standard Range"/>
    <n v="31"/>
    <x v="1"/>
    <s v="Gonzalez-Nelson Tesla"/>
  </r>
  <r>
    <s v="S0655"/>
    <s v="CUST0655"/>
    <x v="96"/>
    <x v="0"/>
    <s v="Europe"/>
    <x v="7"/>
    <s v="Perth"/>
    <n v="1"/>
    <n v="120000"/>
    <x v="0"/>
    <s v="Long Range"/>
    <n v="59"/>
    <x v="0"/>
    <s v="Foley LLC Tesla"/>
  </r>
  <r>
    <s v="S0656"/>
    <s v="CUST0656"/>
    <x v="436"/>
    <x v="1"/>
    <s v="Europe"/>
    <x v="8"/>
    <s v="Guangzhou"/>
    <n v="3"/>
    <n v="324000"/>
    <x v="2"/>
    <s v="Long Range"/>
    <n v="44"/>
    <x v="1"/>
    <s v="Moore Inc Tesla"/>
  </r>
  <r>
    <s v="S0657"/>
    <s v="CUST0657"/>
    <x v="120"/>
    <x v="2"/>
    <s v="Asia"/>
    <x v="0"/>
    <s v="Mumbai"/>
    <n v="2"/>
    <n v="168000"/>
    <x v="2"/>
    <s v="Performance"/>
    <n v="12"/>
    <x v="0"/>
    <s v="Poole-Dyer Tesla"/>
  </r>
  <r>
    <s v="S0658"/>
    <s v="CUST0658"/>
    <x v="437"/>
    <x v="3"/>
    <s v="Europe"/>
    <x v="4"/>
    <s v="Rio de Janeiro"/>
    <n v="2"/>
    <n v="108000"/>
    <x v="4"/>
    <s v="Long Range"/>
    <n v="48"/>
    <x v="1"/>
    <s v="Jones, Ali and Price Tesla"/>
  </r>
  <r>
    <s v="S0659"/>
    <s v="CUST0659"/>
    <x v="438"/>
    <x v="0"/>
    <s v="North America"/>
    <x v="0"/>
    <s v="Delhi"/>
    <n v="1"/>
    <n v="120000"/>
    <x v="4"/>
    <s v="Long Range"/>
    <n v="46"/>
    <x v="1"/>
    <s v="Washington and Sons Tesla"/>
  </r>
  <r>
    <s v="S0660"/>
    <s v="CUST0660"/>
    <x v="439"/>
    <x v="0"/>
    <s v="Asia"/>
    <x v="0"/>
    <s v="Bangalore"/>
    <n v="2"/>
    <n v="200000"/>
    <x v="1"/>
    <s v="Standard Range"/>
    <n v="34"/>
    <x v="0"/>
    <s v="Evans, Berry and Shaw Tesla"/>
  </r>
  <r>
    <s v="S0661"/>
    <s v="CUST0661"/>
    <x v="173"/>
    <x v="0"/>
    <s v="North America"/>
    <x v="7"/>
    <s v="Adelaide"/>
    <n v="3"/>
    <n v="300000"/>
    <x v="2"/>
    <s v="Standard Range"/>
    <n v="17"/>
    <x v="1"/>
    <s v="Williams-Martinez Tesla"/>
  </r>
  <r>
    <s v="S0662"/>
    <s v="CUST0662"/>
    <x v="303"/>
    <x v="3"/>
    <s v="Europe"/>
    <x v="3"/>
    <s v="Montreal"/>
    <n v="1"/>
    <n v="54000"/>
    <x v="1"/>
    <s v="Long Range"/>
    <n v="31"/>
    <x v="1"/>
    <s v="Jackson Ltd Tesla"/>
  </r>
  <r>
    <s v="S0663"/>
    <s v="CUST0663"/>
    <x v="182"/>
    <x v="2"/>
    <s v="Asia"/>
    <x v="2"/>
    <s v="Hamburg"/>
    <n v="3"/>
    <n v="252000"/>
    <x v="1"/>
    <s v="Performance"/>
    <n v="54"/>
    <x v="0"/>
    <s v="Levine, Burnett and Wilkerson Tesla"/>
  </r>
  <r>
    <s v="S0664"/>
    <s v="CUST0664"/>
    <x v="440"/>
    <x v="1"/>
    <s v="North America"/>
    <x v="3"/>
    <s v="Toronto"/>
    <n v="2"/>
    <n v="180000"/>
    <x v="3"/>
    <s v="Standard Range"/>
    <n v="42"/>
    <x v="1"/>
    <s v="Knox PLC Tesla"/>
  </r>
  <r>
    <s v="S0665"/>
    <s v="CUST0665"/>
    <x v="441"/>
    <x v="0"/>
    <s v="Europe"/>
    <x v="0"/>
    <s v="Hyderabad"/>
    <n v="2"/>
    <n v="240000"/>
    <x v="1"/>
    <s v="Long Range"/>
    <n v="48"/>
    <x v="1"/>
    <s v="Williams, Gaines and Russo Tesla"/>
  </r>
  <r>
    <s v="S0666"/>
    <s v="CUST0666"/>
    <x v="438"/>
    <x v="1"/>
    <s v="Europe"/>
    <x v="9"/>
    <s v="Sapporo"/>
    <n v="4"/>
    <n v="432000"/>
    <x v="4"/>
    <s v="Long Range"/>
    <n v="16"/>
    <x v="0"/>
    <s v="Gonzalez-Tyler Tesla"/>
  </r>
  <r>
    <s v="S0667"/>
    <s v="CUST0667"/>
    <x v="391"/>
    <x v="3"/>
    <s v="Europe"/>
    <x v="6"/>
    <s v="Liverpool"/>
    <n v="3"/>
    <n v="189000"/>
    <x v="4"/>
    <s v="Performance"/>
    <n v="38"/>
    <x v="1"/>
    <s v="Thomas, Buckley and Clark Tesla"/>
  </r>
  <r>
    <s v="S0668"/>
    <s v="CUST0668"/>
    <x v="379"/>
    <x v="1"/>
    <s v="North America"/>
    <x v="4"/>
    <s v="SÃ£o Paulo"/>
    <n v="4"/>
    <n v="432000"/>
    <x v="2"/>
    <s v="Long Range"/>
    <n v="14"/>
    <x v="0"/>
    <s v="Richards, Castillo and Caldwell Tesla"/>
  </r>
  <r>
    <s v="S0669"/>
    <s v="CUST0669"/>
    <x v="442"/>
    <x v="2"/>
    <s v="North America"/>
    <x v="8"/>
    <s v="Guangzhou"/>
    <n v="2"/>
    <n v="144000"/>
    <x v="3"/>
    <s v="Long Range"/>
    <n v="54"/>
    <x v="0"/>
    <s v="Chambers LLC Tesla"/>
  </r>
  <r>
    <s v="S0670"/>
    <s v="CUST0670"/>
    <x v="443"/>
    <x v="0"/>
    <s v="Europe"/>
    <x v="2"/>
    <s v="Frankfurt"/>
    <n v="2"/>
    <n v="280000"/>
    <x v="1"/>
    <s v="Performance"/>
    <n v="18"/>
    <x v="0"/>
    <s v="Williams-Jacobson Tesla"/>
  </r>
  <r>
    <s v="S0671"/>
    <s v="CUST0671"/>
    <x v="444"/>
    <x v="3"/>
    <s v="Asia"/>
    <x v="1"/>
    <s v="Lyon"/>
    <n v="4"/>
    <n v="180000"/>
    <x v="3"/>
    <s v="Standard Range"/>
    <n v="5"/>
    <x v="1"/>
    <s v="Martinez-Martinez Tesla"/>
  </r>
  <r>
    <s v="S0672"/>
    <s v="CUST0672"/>
    <x v="445"/>
    <x v="0"/>
    <s v="Europe"/>
    <x v="3"/>
    <s v="Vancouver"/>
    <n v="4"/>
    <n v="480000"/>
    <x v="0"/>
    <s v="Long Range"/>
    <n v="25"/>
    <x v="0"/>
    <s v="Torres-Arroyo Tesla"/>
  </r>
  <r>
    <s v="S0673"/>
    <s v="CUST0673"/>
    <x v="6"/>
    <x v="0"/>
    <s v="North America"/>
    <x v="7"/>
    <s v="Adelaide"/>
    <n v="5"/>
    <n v="500000"/>
    <x v="4"/>
    <s v="Standard Range"/>
    <n v="39"/>
    <x v="1"/>
    <s v="Hall, Atkinson and Pacheco Tesla"/>
  </r>
  <r>
    <s v="S0674"/>
    <s v="CUST0674"/>
    <x v="446"/>
    <x v="2"/>
    <s v="Europe"/>
    <x v="0"/>
    <s v="Bangalore"/>
    <n v="4"/>
    <n v="336000"/>
    <x v="2"/>
    <s v="Performance"/>
    <n v="22"/>
    <x v="0"/>
    <s v="Davis Group Tesla"/>
  </r>
  <r>
    <s v="S0675"/>
    <s v="CUST0675"/>
    <x v="447"/>
    <x v="2"/>
    <s v="Europe"/>
    <x v="7"/>
    <s v="Brisbane"/>
    <n v="2"/>
    <n v="144000"/>
    <x v="0"/>
    <s v="Long Range"/>
    <n v="25"/>
    <x v="0"/>
    <s v="Bond PLC Tesla"/>
  </r>
  <r>
    <s v="S0676"/>
    <s v="CUST0676"/>
    <x v="280"/>
    <x v="0"/>
    <s v="Asia"/>
    <x v="9"/>
    <s v="Osaka"/>
    <n v="5"/>
    <n v="600000"/>
    <x v="4"/>
    <s v="Long Range"/>
    <n v="45"/>
    <x v="1"/>
    <s v="Rodriguez, Harris and Harris Tesla"/>
  </r>
  <r>
    <s v="S0677"/>
    <s v="CUST0677"/>
    <x v="448"/>
    <x v="2"/>
    <s v="North America"/>
    <x v="6"/>
    <s v="Birmingham"/>
    <n v="5"/>
    <n v="420000"/>
    <x v="0"/>
    <s v="Performance"/>
    <n v="43"/>
    <x v="1"/>
    <s v="Nguyen LLC Tesla"/>
  </r>
  <r>
    <s v="S0678"/>
    <s v="CUST0678"/>
    <x v="299"/>
    <x v="0"/>
    <s v="North America"/>
    <x v="5"/>
    <s v="Chicago"/>
    <n v="4"/>
    <n v="480000"/>
    <x v="2"/>
    <s v="Long Range"/>
    <n v="46"/>
    <x v="1"/>
    <s v="Scott-Carlson Tesla"/>
  </r>
  <r>
    <s v="S0679"/>
    <s v="CUST0679"/>
    <x v="81"/>
    <x v="2"/>
    <s v="Europe"/>
    <x v="0"/>
    <s v="Chennai"/>
    <n v="4"/>
    <n v="336000"/>
    <x v="3"/>
    <s v="Performance"/>
    <n v="32"/>
    <x v="0"/>
    <s v="Dominguez-Lucas Tesla"/>
  </r>
  <r>
    <s v="S0680"/>
    <s v="CUST0680"/>
    <x v="449"/>
    <x v="3"/>
    <s v="Europe"/>
    <x v="5"/>
    <s v="New York"/>
    <n v="2"/>
    <n v="126000"/>
    <x v="2"/>
    <s v="Performance"/>
    <n v="37"/>
    <x v="0"/>
    <s v="Cruz, May and Kelly Tesla"/>
  </r>
  <r>
    <s v="S0681"/>
    <s v="CUST0681"/>
    <x v="450"/>
    <x v="2"/>
    <s v="Asia"/>
    <x v="4"/>
    <s v="BrasÃ­lia"/>
    <n v="4"/>
    <n v="240000"/>
    <x v="2"/>
    <s v="Standard Range"/>
    <n v="6"/>
    <x v="1"/>
    <s v="Parsons PLC Tesla"/>
  </r>
  <r>
    <s v="S0682"/>
    <s v="CUST0682"/>
    <x v="194"/>
    <x v="3"/>
    <s v="North America"/>
    <x v="1"/>
    <s v="Marseille"/>
    <n v="1"/>
    <n v="45000"/>
    <x v="2"/>
    <s v="Standard Range"/>
    <n v="34"/>
    <x v="1"/>
    <s v="Johnson Group Tesla"/>
  </r>
  <r>
    <s v="S0683"/>
    <s v="CUST0683"/>
    <x v="370"/>
    <x v="2"/>
    <s v="Europe"/>
    <x v="3"/>
    <s v="Calgary"/>
    <n v="2"/>
    <n v="120000"/>
    <x v="2"/>
    <s v="Standard Range"/>
    <n v="54"/>
    <x v="0"/>
    <s v="Simmons, Joseph and Crawford Tesla"/>
  </r>
  <r>
    <s v="S0684"/>
    <s v="CUST0684"/>
    <x v="451"/>
    <x v="1"/>
    <s v="Europe"/>
    <x v="2"/>
    <s v="Cologne"/>
    <n v="2"/>
    <n v="252000"/>
    <x v="0"/>
    <s v="Performance"/>
    <n v="5"/>
    <x v="1"/>
    <s v="Hurley-Holden Tesla"/>
  </r>
  <r>
    <s v="S0685"/>
    <s v="CUST0685"/>
    <x v="141"/>
    <x v="1"/>
    <s v="North America"/>
    <x v="0"/>
    <s v="Delhi"/>
    <n v="3"/>
    <n v="324000"/>
    <x v="3"/>
    <s v="Long Range"/>
    <n v="18"/>
    <x v="1"/>
    <s v="Duran-Vazquez Tesla"/>
  </r>
  <r>
    <s v="S0686"/>
    <s v="CUST0686"/>
    <x v="95"/>
    <x v="2"/>
    <s v="Europe"/>
    <x v="3"/>
    <s v="Ottawa"/>
    <n v="2"/>
    <n v="168000"/>
    <x v="3"/>
    <s v="Performance"/>
    <n v="10"/>
    <x v="1"/>
    <s v="Mahoney, Mcdonald and Patton Tesla"/>
  </r>
  <r>
    <s v="S0687"/>
    <s v="CUST0687"/>
    <x v="277"/>
    <x v="2"/>
    <s v="Europe"/>
    <x v="6"/>
    <s v="Manchester"/>
    <n v="5"/>
    <n v="420000"/>
    <x v="3"/>
    <s v="Performance"/>
    <n v="35"/>
    <x v="1"/>
    <s v="Dunn-Wilson Tesla"/>
  </r>
  <r>
    <s v="S0688"/>
    <s v="CUST0688"/>
    <x v="206"/>
    <x v="2"/>
    <s v="North America"/>
    <x v="3"/>
    <s v="Ottawa"/>
    <n v="2"/>
    <n v="120000"/>
    <x v="2"/>
    <s v="Standard Range"/>
    <n v="59"/>
    <x v="1"/>
    <s v="Thomas LLC Tesla"/>
  </r>
  <r>
    <s v="S0689"/>
    <s v="CUST0689"/>
    <x v="452"/>
    <x v="1"/>
    <s v="Asia"/>
    <x v="1"/>
    <s v="Toulouse"/>
    <n v="3"/>
    <n v="270000"/>
    <x v="1"/>
    <s v="Standard Range"/>
    <n v="46"/>
    <x v="1"/>
    <s v="Webb-Roberts Tesla"/>
  </r>
  <r>
    <s v="S0690"/>
    <s v="CUST0690"/>
    <x v="168"/>
    <x v="0"/>
    <s v="Asia"/>
    <x v="6"/>
    <s v="Manchester"/>
    <n v="2"/>
    <n v="240000"/>
    <x v="1"/>
    <s v="Long Range"/>
    <n v="46"/>
    <x v="1"/>
    <s v="Charles, Chen and Stevens Tesla"/>
  </r>
  <r>
    <s v="S0691"/>
    <s v="CUST0691"/>
    <x v="453"/>
    <x v="0"/>
    <s v="Europe"/>
    <x v="6"/>
    <s v="Leeds"/>
    <n v="4"/>
    <n v="480000"/>
    <x v="2"/>
    <s v="Long Range"/>
    <n v="40"/>
    <x v="1"/>
    <s v="Brewer-Vasquez Tesla"/>
  </r>
  <r>
    <s v="S0692"/>
    <s v="CUST0692"/>
    <x v="454"/>
    <x v="2"/>
    <s v="Asia"/>
    <x v="8"/>
    <s v="Shanghai"/>
    <n v="3"/>
    <n v="216000"/>
    <x v="3"/>
    <s v="Long Range"/>
    <n v="42"/>
    <x v="0"/>
    <s v="Bartlett, Smith and Fuller Tesla"/>
  </r>
  <r>
    <s v="S0693"/>
    <s v="CUST0693"/>
    <x v="309"/>
    <x v="0"/>
    <s v="Europe"/>
    <x v="9"/>
    <s v="Sapporo"/>
    <n v="2"/>
    <n v="240000"/>
    <x v="2"/>
    <s v="Long Range"/>
    <n v="22"/>
    <x v="0"/>
    <s v="Harris PLC Tesla"/>
  </r>
  <r>
    <s v="S0694"/>
    <s v="CUST0694"/>
    <x v="455"/>
    <x v="1"/>
    <s v="Asia"/>
    <x v="8"/>
    <s v="Guangzhou"/>
    <n v="3"/>
    <n v="270000"/>
    <x v="2"/>
    <s v="Standard Range"/>
    <n v="45"/>
    <x v="1"/>
    <s v="Coleman-Robertson Tesla"/>
  </r>
  <r>
    <s v="S0695"/>
    <s v="CUST0695"/>
    <x v="456"/>
    <x v="3"/>
    <s v="Europe"/>
    <x v="1"/>
    <s v="Lyon"/>
    <n v="3"/>
    <n v="135000"/>
    <x v="4"/>
    <s v="Standard Range"/>
    <n v="60"/>
    <x v="1"/>
    <s v="Case-Short Tesla"/>
  </r>
  <r>
    <s v="S0696"/>
    <s v="CUST0696"/>
    <x v="83"/>
    <x v="2"/>
    <s v="North America"/>
    <x v="9"/>
    <s v="Tokyo"/>
    <n v="5"/>
    <n v="420000"/>
    <x v="3"/>
    <s v="Performance"/>
    <n v="43"/>
    <x v="0"/>
    <s v="Beck LLC Tesla"/>
  </r>
  <r>
    <s v="S0697"/>
    <s v="CUST0697"/>
    <x v="457"/>
    <x v="2"/>
    <s v="Europe"/>
    <x v="1"/>
    <s v="Marseille"/>
    <n v="4"/>
    <n v="240000"/>
    <x v="4"/>
    <s v="Standard Range"/>
    <n v="14"/>
    <x v="0"/>
    <s v="Mccoy and Sons Tesla"/>
  </r>
  <r>
    <s v="S0698"/>
    <s v="CUST0698"/>
    <x v="411"/>
    <x v="1"/>
    <s v="Asia"/>
    <x v="3"/>
    <s v="Calgary"/>
    <n v="3"/>
    <n v="270000"/>
    <x v="1"/>
    <s v="Standard Range"/>
    <n v="45"/>
    <x v="0"/>
    <s v="Bird PLC Tesla"/>
  </r>
  <r>
    <s v="S0699"/>
    <s v="CUST0699"/>
    <x v="359"/>
    <x v="1"/>
    <s v="Asia"/>
    <x v="1"/>
    <s v="Marseille"/>
    <n v="4"/>
    <n v="432000"/>
    <x v="0"/>
    <s v="Long Range"/>
    <n v="42"/>
    <x v="1"/>
    <s v="Curtis-Peterson Tesla"/>
  </r>
  <r>
    <s v="S0700"/>
    <s v="CUST0700"/>
    <x v="336"/>
    <x v="2"/>
    <s v="Europe"/>
    <x v="1"/>
    <s v="Marseille"/>
    <n v="4"/>
    <n v="240000"/>
    <x v="3"/>
    <s v="Standard Range"/>
    <n v="59"/>
    <x v="1"/>
    <s v="Peck, Long and Mendoza Tesla"/>
  </r>
  <r>
    <s v="S0701"/>
    <s v="CUST0701"/>
    <x v="458"/>
    <x v="2"/>
    <s v="North America"/>
    <x v="2"/>
    <s v="Frankfurt"/>
    <n v="5"/>
    <n v="300000"/>
    <x v="2"/>
    <s v="Standard Range"/>
    <n v="30"/>
    <x v="1"/>
    <s v="Russo, White and Davis Tesla"/>
  </r>
  <r>
    <s v="S0702"/>
    <s v="CUST0702"/>
    <x v="225"/>
    <x v="1"/>
    <s v="Asia"/>
    <x v="2"/>
    <s v="Frankfurt"/>
    <n v="1"/>
    <n v="126000"/>
    <x v="4"/>
    <s v="Performance"/>
    <n v="19"/>
    <x v="1"/>
    <s v="Williams Ltd Tesla"/>
  </r>
  <r>
    <s v="S0703"/>
    <s v="CUST0703"/>
    <x v="459"/>
    <x v="1"/>
    <s v="Asia"/>
    <x v="6"/>
    <s v="Birmingham"/>
    <n v="4"/>
    <n v="504000"/>
    <x v="4"/>
    <s v="Performance"/>
    <n v="39"/>
    <x v="1"/>
    <s v="Bates Inc Tesla"/>
  </r>
  <r>
    <s v="S0704"/>
    <s v="CUST0704"/>
    <x v="10"/>
    <x v="3"/>
    <s v="North America"/>
    <x v="9"/>
    <s v="Sapporo"/>
    <n v="3"/>
    <n v="135000"/>
    <x v="3"/>
    <s v="Standard Range"/>
    <n v="37"/>
    <x v="0"/>
    <s v="Romero, Robinson and Thompson Tesla"/>
  </r>
  <r>
    <s v="S0705"/>
    <s v="CUST0705"/>
    <x v="353"/>
    <x v="1"/>
    <s v="Asia"/>
    <x v="4"/>
    <s v="Rio de Janeiro"/>
    <n v="4"/>
    <n v="432000"/>
    <x v="2"/>
    <s v="Long Range"/>
    <n v="7"/>
    <x v="1"/>
    <s v="Park Group Tesla"/>
  </r>
  <r>
    <s v="S0706"/>
    <s v="CUST0706"/>
    <x v="222"/>
    <x v="2"/>
    <s v="North America"/>
    <x v="7"/>
    <s v="Adelaide"/>
    <n v="5"/>
    <n v="360000"/>
    <x v="3"/>
    <s v="Long Range"/>
    <n v="10"/>
    <x v="0"/>
    <s v="Jackson and Sons Tesla"/>
  </r>
  <r>
    <s v="S0707"/>
    <s v="CUST0707"/>
    <x v="379"/>
    <x v="2"/>
    <s v="Asia"/>
    <x v="1"/>
    <s v="Paris"/>
    <n v="4"/>
    <n v="240000"/>
    <x v="3"/>
    <s v="Standard Range"/>
    <n v="34"/>
    <x v="1"/>
    <s v="Cabrera, Gregory and Perez Tesla"/>
  </r>
  <r>
    <s v="S0708"/>
    <s v="CUST0708"/>
    <x v="460"/>
    <x v="0"/>
    <s v="Asia"/>
    <x v="9"/>
    <s v="Osaka"/>
    <n v="2"/>
    <n v="240000"/>
    <x v="4"/>
    <s v="Long Range"/>
    <n v="33"/>
    <x v="1"/>
    <s v="Johnson Inc Tesla"/>
  </r>
  <r>
    <s v="S0709"/>
    <s v="CUST0709"/>
    <x v="461"/>
    <x v="2"/>
    <s v="Europe"/>
    <x v="3"/>
    <s v="Toronto"/>
    <n v="5"/>
    <n v="420000"/>
    <x v="0"/>
    <s v="Performance"/>
    <n v="40"/>
    <x v="1"/>
    <s v="Howard, Cochran and Garcia Tesla"/>
  </r>
  <r>
    <s v="S0710"/>
    <s v="CUST0710"/>
    <x v="444"/>
    <x v="3"/>
    <s v="Asia"/>
    <x v="6"/>
    <s v="Manchester"/>
    <n v="4"/>
    <n v="252000"/>
    <x v="1"/>
    <s v="Performance"/>
    <n v="7"/>
    <x v="0"/>
    <s v="Davidson PLC Tesla"/>
  </r>
  <r>
    <s v="S0711"/>
    <s v="CUST0711"/>
    <x v="462"/>
    <x v="2"/>
    <s v="Europe"/>
    <x v="4"/>
    <s v="Salvador"/>
    <n v="1"/>
    <n v="72000"/>
    <x v="1"/>
    <s v="Long Range"/>
    <n v="43"/>
    <x v="1"/>
    <s v="Donovan PLC Tesla"/>
  </r>
  <r>
    <s v="S0712"/>
    <s v="CUST0712"/>
    <x v="463"/>
    <x v="0"/>
    <s v="Europe"/>
    <x v="8"/>
    <s v="Chengdu"/>
    <n v="1"/>
    <n v="100000"/>
    <x v="1"/>
    <s v="Standard Range"/>
    <n v="11"/>
    <x v="1"/>
    <s v="Rowe and Sons Tesla"/>
  </r>
  <r>
    <s v="S0713"/>
    <s v="CUST0713"/>
    <x v="464"/>
    <x v="1"/>
    <s v="North America"/>
    <x v="1"/>
    <s v="Nice"/>
    <n v="3"/>
    <n v="324000"/>
    <x v="3"/>
    <s v="Long Range"/>
    <n v="42"/>
    <x v="1"/>
    <s v="Jackson LLC Tesla"/>
  </r>
  <r>
    <s v="S0714"/>
    <s v="CUST0714"/>
    <x v="70"/>
    <x v="1"/>
    <s v="North America"/>
    <x v="7"/>
    <s v="Sydney"/>
    <n v="2"/>
    <n v="216000"/>
    <x v="2"/>
    <s v="Long Range"/>
    <n v="33"/>
    <x v="0"/>
    <s v="Garcia-Holmes Tesla"/>
  </r>
  <r>
    <s v="S0715"/>
    <s v="CUST0715"/>
    <x v="243"/>
    <x v="1"/>
    <s v="Europe"/>
    <x v="8"/>
    <s v="Shanghai"/>
    <n v="3"/>
    <n v="270000"/>
    <x v="1"/>
    <s v="Standard Range"/>
    <n v="54"/>
    <x v="0"/>
    <s v="Morgan Group Tesla"/>
  </r>
  <r>
    <s v="S0716"/>
    <s v="CUST0716"/>
    <x v="465"/>
    <x v="0"/>
    <s v="Europe"/>
    <x v="0"/>
    <s v="Bangalore"/>
    <n v="2"/>
    <n v="240000"/>
    <x v="3"/>
    <s v="Long Range"/>
    <n v="24"/>
    <x v="0"/>
    <s v="Hanson Group Tesla"/>
  </r>
  <r>
    <s v="S0717"/>
    <s v="CUST0717"/>
    <x v="466"/>
    <x v="3"/>
    <s v="North America"/>
    <x v="3"/>
    <s v="Calgary"/>
    <n v="1"/>
    <n v="54000"/>
    <x v="0"/>
    <s v="Long Range"/>
    <n v="17"/>
    <x v="1"/>
    <s v="Terry, Sanchez and Christian Tesla"/>
  </r>
  <r>
    <s v="S0718"/>
    <s v="CUST0718"/>
    <x v="263"/>
    <x v="2"/>
    <s v="North America"/>
    <x v="7"/>
    <s v="Adelaide"/>
    <n v="4"/>
    <n v="288000"/>
    <x v="3"/>
    <s v="Long Range"/>
    <n v="22"/>
    <x v="0"/>
    <s v="Petersen Group Tesla"/>
  </r>
  <r>
    <s v="S0719"/>
    <s v="CUST0719"/>
    <x v="310"/>
    <x v="1"/>
    <s v="Europe"/>
    <x v="7"/>
    <s v="Perth"/>
    <n v="2"/>
    <n v="216000"/>
    <x v="3"/>
    <s v="Long Range"/>
    <n v="12"/>
    <x v="0"/>
    <s v="Harrison PLC Tesla"/>
  </r>
  <r>
    <s v="S0720"/>
    <s v="CUST0720"/>
    <x v="424"/>
    <x v="0"/>
    <s v="Europe"/>
    <x v="8"/>
    <s v="Shenzhen"/>
    <n v="2"/>
    <n v="240000"/>
    <x v="2"/>
    <s v="Long Range"/>
    <n v="36"/>
    <x v="1"/>
    <s v="Garza, Palmer and Carter Tesla"/>
  </r>
  <r>
    <s v="S0721"/>
    <s v="CUST0721"/>
    <x v="467"/>
    <x v="1"/>
    <s v="Asia"/>
    <x v="0"/>
    <s v="Mumbai"/>
    <n v="4"/>
    <n v="432000"/>
    <x v="1"/>
    <s v="Long Range"/>
    <n v="40"/>
    <x v="0"/>
    <s v="Johnson Group Tesla"/>
  </r>
  <r>
    <s v="S0722"/>
    <s v="CUST0722"/>
    <x v="468"/>
    <x v="2"/>
    <s v="Europe"/>
    <x v="3"/>
    <s v="Ottawa"/>
    <n v="3"/>
    <n v="180000"/>
    <x v="4"/>
    <s v="Standard Range"/>
    <n v="9"/>
    <x v="1"/>
    <s v="Henderson Ltd Tesla"/>
  </r>
  <r>
    <s v="S0723"/>
    <s v="CUST0723"/>
    <x v="74"/>
    <x v="3"/>
    <s v="North America"/>
    <x v="3"/>
    <s v="Montreal"/>
    <n v="5"/>
    <n v="225000"/>
    <x v="3"/>
    <s v="Standard Range"/>
    <n v="42"/>
    <x v="1"/>
    <s v="Johnston, Hart and Dawson Tesla"/>
  </r>
  <r>
    <s v="S0724"/>
    <s v="CUST0724"/>
    <x v="327"/>
    <x v="0"/>
    <s v="Asia"/>
    <x v="6"/>
    <s v="Leeds"/>
    <n v="5"/>
    <n v="500000"/>
    <x v="0"/>
    <s v="Standard Range"/>
    <n v="58"/>
    <x v="0"/>
    <s v="Monroe Inc Tesla"/>
  </r>
  <r>
    <s v="S0725"/>
    <s v="CUST0725"/>
    <x v="469"/>
    <x v="2"/>
    <s v="Asia"/>
    <x v="7"/>
    <s v="Adelaide"/>
    <n v="1"/>
    <n v="60000"/>
    <x v="3"/>
    <s v="Standard Range"/>
    <n v="54"/>
    <x v="0"/>
    <s v="Taylor, Robertson and Mendoza Tesla"/>
  </r>
  <r>
    <s v="S0726"/>
    <s v="CUST0726"/>
    <x v="158"/>
    <x v="2"/>
    <s v="Europe"/>
    <x v="6"/>
    <s v="Manchester"/>
    <n v="3"/>
    <n v="216000"/>
    <x v="4"/>
    <s v="Long Range"/>
    <n v="31"/>
    <x v="1"/>
    <s v="Hester LLC Tesla"/>
  </r>
  <r>
    <s v="S0727"/>
    <s v="CUST0727"/>
    <x v="448"/>
    <x v="2"/>
    <s v="Asia"/>
    <x v="2"/>
    <s v="Berlin"/>
    <n v="4"/>
    <n v="240000"/>
    <x v="3"/>
    <s v="Standard Range"/>
    <n v="24"/>
    <x v="1"/>
    <s v="Everett, Chapman and Shelton Tesla"/>
  </r>
  <r>
    <s v="S0728"/>
    <s v="CUST0728"/>
    <x v="470"/>
    <x v="2"/>
    <s v="North America"/>
    <x v="1"/>
    <s v="Toulouse"/>
    <n v="2"/>
    <n v="168000"/>
    <x v="0"/>
    <s v="Performance"/>
    <n v="18"/>
    <x v="0"/>
    <s v="Torres, Hunter and Stevens Tesla"/>
  </r>
  <r>
    <s v="S0729"/>
    <s v="CUST0729"/>
    <x v="159"/>
    <x v="1"/>
    <s v="Europe"/>
    <x v="4"/>
    <s v="Rio de Janeiro"/>
    <n v="4"/>
    <n v="504000"/>
    <x v="0"/>
    <s v="Performance"/>
    <n v="30"/>
    <x v="1"/>
    <s v="Snyder, Robinson and Weber Tesla"/>
  </r>
  <r>
    <s v="S0730"/>
    <s v="CUST0730"/>
    <x v="471"/>
    <x v="2"/>
    <s v="Europe"/>
    <x v="6"/>
    <s v="London"/>
    <n v="3"/>
    <n v="252000"/>
    <x v="3"/>
    <s v="Performance"/>
    <n v="46"/>
    <x v="0"/>
    <s v="Baxter-Nolan Tesla"/>
  </r>
  <r>
    <s v="S0731"/>
    <s v="CUST0731"/>
    <x v="472"/>
    <x v="3"/>
    <s v="North America"/>
    <x v="1"/>
    <s v="Lyon"/>
    <n v="5"/>
    <n v="315000"/>
    <x v="0"/>
    <s v="Performance"/>
    <n v="46"/>
    <x v="1"/>
    <s v="Harris Ltd Tesla"/>
  </r>
  <r>
    <s v="S0732"/>
    <s v="CUST0732"/>
    <x v="473"/>
    <x v="3"/>
    <s v="Asia"/>
    <x v="3"/>
    <s v="Montreal"/>
    <n v="2"/>
    <n v="126000"/>
    <x v="1"/>
    <s v="Performance"/>
    <n v="59"/>
    <x v="0"/>
    <s v="Banks-Taylor Tesla"/>
  </r>
  <r>
    <s v="S0733"/>
    <s v="CUST0733"/>
    <x v="118"/>
    <x v="3"/>
    <s v="Europe"/>
    <x v="2"/>
    <s v="Frankfurt"/>
    <n v="4"/>
    <n v="216000"/>
    <x v="3"/>
    <s v="Long Range"/>
    <n v="6"/>
    <x v="0"/>
    <s v="Russell Ltd Tesla"/>
  </r>
  <r>
    <s v="S0734"/>
    <s v="CUST0734"/>
    <x v="446"/>
    <x v="2"/>
    <s v="Europe"/>
    <x v="2"/>
    <s v="Munich"/>
    <n v="1"/>
    <n v="84000"/>
    <x v="0"/>
    <s v="Performance"/>
    <n v="60"/>
    <x v="1"/>
    <s v="Fisher, Wright and Cooke Tesla"/>
  </r>
  <r>
    <s v="S0735"/>
    <s v="CUST0735"/>
    <x v="474"/>
    <x v="1"/>
    <s v="Asia"/>
    <x v="0"/>
    <s v="Hyderabad"/>
    <n v="4"/>
    <n v="504000"/>
    <x v="0"/>
    <s v="Performance"/>
    <n v="33"/>
    <x v="0"/>
    <s v="Mathews, Mendez and Taylor Tesla"/>
  </r>
  <r>
    <s v="S0736"/>
    <s v="CUST0736"/>
    <x v="475"/>
    <x v="2"/>
    <s v="North America"/>
    <x v="8"/>
    <s v="Beijing"/>
    <n v="3"/>
    <n v="180000"/>
    <x v="1"/>
    <s v="Standard Range"/>
    <n v="20"/>
    <x v="0"/>
    <s v="Davis, Gallagher and Lang Tesla"/>
  </r>
  <r>
    <s v="S0737"/>
    <s v="CUST0737"/>
    <x v="345"/>
    <x v="2"/>
    <s v="Europe"/>
    <x v="3"/>
    <s v="Toronto"/>
    <n v="4"/>
    <n v="240000"/>
    <x v="3"/>
    <s v="Standard Range"/>
    <n v="23"/>
    <x v="1"/>
    <s v="Scott-Garza Tesla"/>
  </r>
  <r>
    <s v="S0738"/>
    <s v="CUST0738"/>
    <x v="363"/>
    <x v="0"/>
    <s v="North America"/>
    <x v="9"/>
    <s v="Nagoya"/>
    <n v="4"/>
    <n v="560000"/>
    <x v="3"/>
    <s v="Performance"/>
    <n v="53"/>
    <x v="0"/>
    <s v="Scott-Simpson Tesla"/>
  </r>
  <r>
    <s v="S0739"/>
    <s v="CUST0739"/>
    <x v="476"/>
    <x v="3"/>
    <s v="North America"/>
    <x v="2"/>
    <s v="Frankfurt"/>
    <n v="5"/>
    <n v="225000"/>
    <x v="4"/>
    <s v="Standard Range"/>
    <n v="59"/>
    <x v="0"/>
    <s v="Cunningham-Hogan Tesla"/>
  </r>
  <r>
    <s v="S0740"/>
    <s v="CUST0740"/>
    <x v="477"/>
    <x v="3"/>
    <s v="North America"/>
    <x v="3"/>
    <s v="Vancouver"/>
    <n v="5"/>
    <n v="315000"/>
    <x v="1"/>
    <s v="Performance"/>
    <n v="11"/>
    <x v="0"/>
    <s v="Hall, Lee and Munoz Tesla"/>
  </r>
  <r>
    <s v="S0741"/>
    <s v="CUST0741"/>
    <x v="478"/>
    <x v="1"/>
    <s v="Asia"/>
    <x v="5"/>
    <s v="New York"/>
    <n v="2"/>
    <n v="180000"/>
    <x v="3"/>
    <s v="Standard Range"/>
    <n v="7"/>
    <x v="0"/>
    <s v="Chase PLC Tesla"/>
  </r>
  <r>
    <s v="S0742"/>
    <s v="CUST0742"/>
    <x v="479"/>
    <x v="3"/>
    <s v="Europe"/>
    <x v="8"/>
    <s v="Beijing"/>
    <n v="3"/>
    <n v="135000"/>
    <x v="3"/>
    <s v="Standard Range"/>
    <n v="6"/>
    <x v="1"/>
    <s v="Allen, Jones and Kramer Tesla"/>
  </r>
  <r>
    <s v="S0743"/>
    <s v="CUST0743"/>
    <x v="480"/>
    <x v="1"/>
    <s v="North America"/>
    <x v="3"/>
    <s v="Toronto"/>
    <n v="3"/>
    <n v="270000"/>
    <x v="0"/>
    <s v="Standard Range"/>
    <n v="36"/>
    <x v="0"/>
    <s v="Huang and Sons Tesla"/>
  </r>
  <r>
    <s v="S0744"/>
    <s v="CUST0744"/>
    <x v="198"/>
    <x v="1"/>
    <s v="Europe"/>
    <x v="0"/>
    <s v="Hyderabad"/>
    <n v="4"/>
    <n v="432000"/>
    <x v="0"/>
    <s v="Long Range"/>
    <n v="21"/>
    <x v="1"/>
    <s v="Ramos Ltd Tesla"/>
  </r>
  <r>
    <s v="S0745"/>
    <s v="CUST0745"/>
    <x v="52"/>
    <x v="3"/>
    <s v="North America"/>
    <x v="1"/>
    <s v="Lyon"/>
    <n v="3"/>
    <n v="162000"/>
    <x v="3"/>
    <s v="Long Range"/>
    <n v="19"/>
    <x v="0"/>
    <s v="Patterson, Miller and Morris Tesla"/>
  </r>
  <r>
    <s v="S0746"/>
    <s v="CUST0746"/>
    <x v="480"/>
    <x v="3"/>
    <s v="Europe"/>
    <x v="3"/>
    <s v="Toronto"/>
    <n v="3"/>
    <n v="135000"/>
    <x v="1"/>
    <s v="Standard Range"/>
    <n v="13"/>
    <x v="1"/>
    <s v="Murphy-Ryan Tesla"/>
  </r>
  <r>
    <s v="S0747"/>
    <s v="CUST0747"/>
    <x v="481"/>
    <x v="3"/>
    <s v="North America"/>
    <x v="0"/>
    <s v="Hyderabad"/>
    <n v="1"/>
    <n v="54000"/>
    <x v="0"/>
    <s v="Long Range"/>
    <n v="53"/>
    <x v="1"/>
    <s v="Gomez, Carter and Howard Tesla"/>
  </r>
  <r>
    <s v="S0748"/>
    <s v="CUST0748"/>
    <x v="76"/>
    <x v="3"/>
    <s v="Europe"/>
    <x v="7"/>
    <s v="Sydney"/>
    <n v="3"/>
    <n v="162000"/>
    <x v="4"/>
    <s v="Long Range"/>
    <n v="24"/>
    <x v="1"/>
    <s v="Cardenas, Brown and Chen Tesla"/>
  </r>
  <r>
    <s v="S0749"/>
    <s v="CUST0749"/>
    <x v="328"/>
    <x v="3"/>
    <s v="Asia"/>
    <x v="3"/>
    <s v="Toronto"/>
    <n v="1"/>
    <n v="54000"/>
    <x v="3"/>
    <s v="Long Range"/>
    <n v="57"/>
    <x v="1"/>
    <s v="Wagner, Davis and Edwards Tesla"/>
  </r>
  <r>
    <s v="S0750"/>
    <s v="CUST0750"/>
    <x v="482"/>
    <x v="3"/>
    <s v="Europe"/>
    <x v="9"/>
    <s v="Tokyo"/>
    <n v="1"/>
    <n v="45000"/>
    <x v="1"/>
    <s v="Standard Range"/>
    <n v="13"/>
    <x v="1"/>
    <s v="Marquez Ltd Tesla"/>
  </r>
  <r>
    <s v="S0751"/>
    <s v="CUST0751"/>
    <x v="450"/>
    <x v="1"/>
    <s v="Asia"/>
    <x v="6"/>
    <s v="Leeds"/>
    <n v="2"/>
    <n v="180000"/>
    <x v="4"/>
    <s v="Standard Range"/>
    <n v="60"/>
    <x v="1"/>
    <s v="Love, Daniels and Campbell Tesla"/>
  </r>
  <r>
    <s v="S0752"/>
    <s v="CUST0752"/>
    <x v="448"/>
    <x v="3"/>
    <s v="Europe"/>
    <x v="8"/>
    <s v="Chengdu"/>
    <n v="1"/>
    <n v="63000"/>
    <x v="1"/>
    <s v="Performance"/>
    <n v="12"/>
    <x v="1"/>
    <s v="Hill-Baldwin Tesla"/>
  </r>
  <r>
    <s v="S0753"/>
    <s v="CUST0753"/>
    <x v="483"/>
    <x v="1"/>
    <s v="North America"/>
    <x v="6"/>
    <s v="London"/>
    <n v="4"/>
    <n v="432000"/>
    <x v="0"/>
    <s v="Long Range"/>
    <n v="55"/>
    <x v="1"/>
    <s v="Robinson, Carpenter and Lewis Tesla"/>
  </r>
  <r>
    <s v="S0754"/>
    <s v="CUST0754"/>
    <x v="412"/>
    <x v="3"/>
    <s v="Asia"/>
    <x v="3"/>
    <s v="Toronto"/>
    <n v="2"/>
    <n v="90000"/>
    <x v="2"/>
    <s v="Standard Range"/>
    <n v="59"/>
    <x v="1"/>
    <s v="Fields LLC Tesla"/>
  </r>
  <r>
    <s v="S0755"/>
    <s v="CUST0755"/>
    <x v="484"/>
    <x v="3"/>
    <s v="Europe"/>
    <x v="9"/>
    <s v="Tokyo"/>
    <n v="2"/>
    <n v="126000"/>
    <x v="0"/>
    <s v="Performance"/>
    <n v="44"/>
    <x v="1"/>
    <s v="Baker-Rollins Tesla"/>
  </r>
  <r>
    <s v="S0756"/>
    <s v="CUST0756"/>
    <x v="485"/>
    <x v="1"/>
    <s v="Europe"/>
    <x v="6"/>
    <s v="Birmingham"/>
    <n v="4"/>
    <n v="360000"/>
    <x v="1"/>
    <s v="Standard Range"/>
    <n v="54"/>
    <x v="0"/>
    <s v="House, Hall and Smith Tesla"/>
  </r>
  <r>
    <s v="S0757"/>
    <s v="CUST0757"/>
    <x v="433"/>
    <x v="2"/>
    <s v="Asia"/>
    <x v="6"/>
    <s v="Manchester"/>
    <n v="4"/>
    <n v="288000"/>
    <x v="4"/>
    <s v="Long Range"/>
    <n v="54"/>
    <x v="0"/>
    <s v="Carroll Inc Tesla"/>
  </r>
  <r>
    <s v="S0758"/>
    <s v="CUST0758"/>
    <x v="163"/>
    <x v="0"/>
    <s v="North America"/>
    <x v="4"/>
    <s v="Salvador"/>
    <n v="1"/>
    <n v="140000"/>
    <x v="3"/>
    <s v="Performance"/>
    <n v="40"/>
    <x v="0"/>
    <s v="Rios, Holder and White Tesla"/>
  </r>
  <r>
    <s v="S0759"/>
    <s v="CUST0759"/>
    <x v="218"/>
    <x v="0"/>
    <s v="Asia"/>
    <x v="6"/>
    <s v="Manchester"/>
    <n v="5"/>
    <n v="500000"/>
    <x v="0"/>
    <s v="Standard Range"/>
    <n v="53"/>
    <x v="1"/>
    <s v="Delacruz, Moore and Carter Tesla"/>
  </r>
  <r>
    <s v="S0760"/>
    <s v="CUST0760"/>
    <x v="486"/>
    <x v="3"/>
    <s v="North America"/>
    <x v="9"/>
    <s v="Sapporo"/>
    <n v="1"/>
    <n v="63000"/>
    <x v="3"/>
    <s v="Performance"/>
    <n v="13"/>
    <x v="1"/>
    <s v="Li, Davis and Carrillo Tesla"/>
  </r>
  <r>
    <s v="S0761"/>
    <s v="CUST0761"/>
    <x v="125"/>
    <x v="0"/>
    <s v="North America"/>
    <x v="4"/>
    <s v="Rio de Janeiro"/>
    <n v="4"/>
    <n v="480000"/>
    <x v="1"/>
    <s v="Long Range"/>
    <n v="39"/>
    <x v="0"/>
    <s v="Finley-Mack Tesla"/>
  </r>
  <r>
    <s v="S0762"/>
    <s v="CUST0762"/>
    <x v="487"/>
    <x v="0"/>
    <s v="North America"/>
    <x v="0"/>
    <s v="Bangalore"/>
    <n v="5"/>
    <n v="700000"/>
    <x v="1"/>
    <s v="Performance"/>
    <n v="29"/>
    <x v="0"/>
    <s v="Ayala-Smith Tesla"/>
  </r>
  <r>
    <s v="S0763"/>
    <s v="CUST0763"/>
    <x v="324"/>
    <x v="2"/>
    <s v="Asia"/>
    <x v="6"/>
    <s v="Liverpool"/>
    <n v="5"/>
    <n v="420000"/>
    <x v="3"/>
    <s v="Performance"/>
    <n v="17"/>
    <x v="0"/>
    <s v="Logan Group Tesla"/>
  </r>
  <r>
    <s v="S0764"/>
    <s v="CUST0764"/>
    <x v="79"/>
    <x v="1"/>
    <s v="Europe"/>
    <x v="5"/>
    <s v="Chicago"/>
    <n v="2"/>
    <n v="216000"/>
    <x v="1"/>
    <s v="Long Range"/>
    <n v="19"/>
    <x v="1"/>
    <s v="Smith, Davis and Bailey Tesla"/>
  </r>
  <r>
    <s v="S0765"/>
    <s v="CUST0765"/>
    <x v="249"/>
    <x v="3"/>
    <s v="North America"/>
    <x v="6"/>
    <s v="Liverpool"/>
    <n v="4"/>
    <n v="216000"/>
    <x v="1"/>
    <s v="Long Range"/>
    <n v="9"/>
    <x v="0"/>
    <s v="Klein-West Tesla"/>
  </r>
  <r>
    <s v="S0766"/>
    <s v="CUST0766"/>
    <x v="488"/>
    <x v="1"/>
    <s v="Asia"/>
    <x v="2"/>
    <s v="Cologne"/>
    <n v="3"/>
    <n v="270000"/>
    <x v="4"/>
    <s v="Standard Range"/>
    <n v="54"/>
    <x v="1"/>
    <s v="Hicks and Sons Tesla"/>
  </r>
  <r>
    <s v="S0767"/>
    <s v="CUST0767"/>
    <x v="489"/>
    <x v="1"/>
    <s v="Asia"/>
    <x v="3"/>
    <s v="Toronto"/>
    <n v="1"/>
    <n v="108000"/>
    <x v="2"/>
    <s v="Long Range"/>
    <n v="58"/>
    <x v="0"/>
    <s v="Acevedo-Russell Tesla"/>
  </r>
  <r>
    <s v="S0768"/>
    <s v="CUST0768"/>
    <x v="203"/>
    <x v="3"/>
    <s v="Europe"/>
    <x v="6"/>
    <s v="London"/>
    <n v="1"/>
    <n v="45000"/>
    <x v="2"/>
    <s v="Standard Range"/>
    <n v="8"/>
    <x v="0"/>
    <s v="Cummings Inc Tesla"/>
  </r>
  <r>
    <s v="S0769"/>
    <s v="CUST0769"/>
    <x v="307"/>
    <x v="0"/>
    <s v="Europe"/>
    <x v="1"/>
    <s v="Lyon"/>
    <n v="3"/>
    <n v="420000"/>
    <x v="0"/>
    <s v="Performance"/>
    <n v="52"/>
    <x v="0"/>
    <s v="Warren-Ward Tesla"/>
  </r>
  <r>
    <s v="S0770"/>
    <s v="CUST0770"/>
    <x v="490"/>
    <x v="0"/>
    <s v="Europe"/>
    <x v="9"/>
    <s v="Yokohama"/>
    <n v="4"/>
    <n v="400000"/>
    <x v="2"/>
    <s v="Standard Range"/>
    <n v="30"/>
    <x v="0"/>
    <s v="Brown-Martinez Tesla"/>
  </r>
  <r>
    <s v="S0771"/>
    <s v="CUST0771"/>
    <x v="35"/>
    <x v="0"/>
    <s v="Europe"/>
    <x v="8"/>
    <s v="Beijing"/>
    <n v="4"/>
    <n v="400000"/>
    <x v="0"/>
    <s v="Standard Range"/>
    <n v="42"/>
    <x v="0"/>
    <s v="Rogers and Sons Tesla"/>
  </r>
  <r>
    <s v="S0772"/>
    <s v="CUST0772"/>
    <x v="269"/>
    <x v="2"/>
    <s v="Asia"/>
    <x v="4"/>
    <s v="SÃ£o Paulo"/>
    <n v="2"/>
    <n v="168000"/>
    <x v="3"/>
    <s v="Performance"/>
    <n v="38"/>
    <x v="0"/>
    <s v="Watson-Pierce Tesla"/>
  </r>
  <r>
    <s v="S0773"/>
    <s v="CUST0773"/>
    <x v="491"/>
    <x v="2"/>
    <s v="North America"/>
    <x v="5"/>
    <s v="Los Angeles"/>
    <n v="1"/>
    <n v="84000"/>
    <x v="3"/>
    <s v="Performance"/>
    <n v="19"/>
    <x v="0"/>
    <s v="Oliver-Love Tesla"/>
  </r>
  <r>
    <s v="S0774"/>
    <s v="CUST0774"/>
    <x v="344"/>
    <x v="0"/>
    <s v="North America"/>
    <x v="6"/>
    <s v="Birmingham"/>
    <n v="1"/>
    <n v="100000"/>
    <x v="0"/>
    <s v="Standard Range"/>
    <n v="59"/>
    <x v="0"/>
    <s v="Russell, Simpson and Hill Tesla"/>
  </r>
  <r>
    <s v="S0775"/>
    <s v="CUST0775"/>
    <x v="340"/>
    <x v="0"/>
    <s v="Europe"/>
    <x v="2"/>
    <s v="Munich"/>
    <n v="2"/>
    <n v="200000"/>
    <x v="1"/>
    <s v="Standard Range"/>
    <n v="5"/>
    <x v="1"/>
    <s v="Hicks, Phillips and Houston Tesla"/>
  </r>
  <r>
    <s v="S0776"/>
    <s v="CUST0776"/>
    <x v="150"/>
    <x v="0"/>
    <s v="North America"/>
    <x v="2"/>
    <s v="Cologne"/>
    <n v="3"/>
    <n v="300000"/>
    <x v="4"/>
    <s v="Standard Range"/>
    <n v="47"/>
    <x v="0"/>
    <s v="White LLC Tesla"/>
  </r>
  <r>
    <s v="S0777"/>
    <s v="CUST0777"/>
    <x v="405"/>
    <x v="1"/>
    <s v="Europe"/>
    <x v="8"/>
    <s v="Guangzhou"/>
    <n v="5"/>
    <n v="450000"/>
    <x v="2"/>
    <s v="Standard Range"/>
    <n v="18"/>
    <x v="1"/>
    <s v="Spears-Farmer Tesla"/>
  </r>
  <r>
    <s v="S0778"/>
    <s v="CUST0778"/>
    <x v="492"/>
    <x v="1"/>
    <s v="Asia"/>
    <x v="2"/>
    <s v="Frankfurt"/>
    <n v="4"/>
    <n v="504000"/>
    <x v="0"/>
    <s v="Performance"/>
    <n v="34"/>
    <x v="1"/>
    <s v="Reynolds-Griffin Tesla"/>
  </r>
  <r>
    <s v="S0779"/>
    <s v="CUST0779"/>
    <x v="493"/>
    <x v="1"/>
    <s v="Asia"/>
    <x v="2"/>
    <s v="Cologne"/>
    <n v="1"/>
    <n v="90000"/>
    <x v="0"/>
    <s v="Standard Range"/>
    <n v="28"/>
    <x v="0"/>
    <s v="Carpenter, Williams and Munoz Tesla"/>
  </r>
  <r>
    <s v="S0780"/>
    <s v="CUST0780"/>
    <x v="207"/>
    <x v="2"/>
    <s v="Asia"/>
    <x v="7"/>
    <s v="Adelaide"/>
    <n v="4"/>
    <n v="336000"/>
    <x v="3"/>
    <s v="Performance"/>
    <n v="41"/>
    <x v="0"/>
    <s v="Harrison, White and Jones Tesla"/>
  </r>
  <r>
    <s v="S0781"/>
    <s v="CUST0781"/>
    <x v="494"/>
    <x v="3"/>
    <s v="Europe"/>
    <x v="6"/>
    <s v="Birmingham"/>
    <n v="2"/>
    <n v="90000"/>
    <x v="1"/>
    <s v="Standard Range"/>
    <n v="12"/>
    <x v="0"/>
    <s v="Smith and Sons Tesla"/>
  </r>
  <r>
    <s v="S0782"/>
    <s v="CUST0782"/>
    <x v="495"/>
    <x v="0"/>
    <s v="North America"/>
    <x v="4"/>
    <s v="Salvador"/>
    <n v="5"/>
    <n v="600000"/>
    <x v="2"/>
    <s v="Long Range"/>
    <n v="25"/>
    <x v="0"/>
    <s v="Griffin PLC Tesla"/>
  </r>
  <r>
    <s v="S0783"/>
    <s v="CUST0783"/>
    <x v="313"/>
    <x v="2"/>
    <s v="North America"/>
    <x v="5"/>
    <s v="New York"/>
    <n v="1"/>
    <n v="60000"/>
    <x v="0"/>
    <s v="Standard Range"/>
    <n v="15"/>
    <x v="0"/>
    <s v="Guerrero Inc Tesla"/>
  </r>
  <r>
    <s v="S0784"/>
    <s v="CUST0784"/>
    <x v="159"/>
    <x v="2"/>
    <s v="Asia"/>
    <x v="6"/>
    <s v="Birmingham"/>
    <n v="1"/>
    <n v="72000"/>
    <x v="1"/>
    <s v="Long Range"/>
    <n v="20"/>
    <x v="0"/>
    <s v="Jones, Walker and Gomez Tesla"/>
  </r>
  <r>
    <s v="S0785"/>
    <s v="CUST0785"/>
    <x v="496"/>
    <x v="0"/>
    <s v="Europe"/>
    <x v="7"/>
    <s v="Adelaide"/>
    <n v="3"/>
    <n v="360000"/>
    <x v="0"/>
    <s v="Long Range"/>
    <n v="5"/>
    <x v="1"/>
    <s v="Miller, Chung and Moran Tesla"/>
  </r>
  <r>
    <s v="S0786"/>
    <s v="CUST0786"/>
    <x v="87"/>
    <x v="0"/>
    <s v="North America"/>
    <x v="9"/>
    <s v="Osaka"/>
    <n v="5"/>
    <n v="600000"/>
    <x v="4"/>
    <s v="Long Range"/>
    <n v="7"/>
    <x v="1"/>
    <s v="Conway-Mcconnell Tesla"/>
  </r>
  <r>
    <s v="S0787"/>
    <s v="CUST0787"/>
    <x v="378"/>
    <x v="0"/>
    <s v="North America"/>
    <x v="1"/>
    <s v="Paris"/>
    <n v="2"/>
    <n v="200000"/>
    <x v="3"/>
    <s v="Standard Range"/>
    <n v="21"/>
    <x v="0"/>
    <s v="Snyder Group Tesla"/>
  </r>
  <r>
    <s v="S0788"/>
    <s v="CUST0788"/>
    <x v="497"/>
    <x v="0"/>
    <s v="North America"/>
    <x v="3"/>
    <s v="Ottawa"/>
    <n v="1"/>
    <n v="120000"/>
    <x v="1"/>
    <s v="Long Range"/>
    <n v="46"/>
    <x v="1"/>
    <s v="Taylor, Thomas and Jenkins Tesla"/>
  </r>
  <r>
    <s v="S0789"/>
    <s v="CUST0789"/>
    <x v="39"/>
    <x v="1"/>
    <s v="North America"/>
    <x v="7"/>
    <s v="Melbourne"/>
    <n v="3"/>
    <n v="378000"/>
    <x v="3"/>
    <s v="Performance"/>
    <n v="25"/>
    <x v="0"/>
    <s v="Stephens, Smith and Bush Tesla"/>
  </r>
  <r>
    <s v="S0790"/>
    <s v="CUST0790"/>
    <x v="438"/>
    <x v="0"/>
    <s v="Europe"/>
    <x v="7"/>
    <s v="Brisbane"/>
    <n v="5"/>
    <n v="600000"/>
    <x v="3"/>
    <s v="Long Range"/>
    <n v="24"/>
    <x v="0"/>
    <s v="Brown-Wallace Tesla"/>
  </r>
  <r>
    <s v="S0791"/>
    <s v="CUST0791"/>
    <x v="194"/>
    <x v="2"/>
    <s v="North America"/>
    <x v="7"/>
    <s v="Perth"/>
    <n v="2"/>
    <n v="120000"/>
    <x v="0"/>
    <s v="Standard Range"/>
    <n v="55"/>
    <x v="0"/>
    <s v="Leonard LLC Tesla"/>
  </r>
  <r>
    <s v="S0792"/>
    <s v="CUST0792"/>
    <x v="342"/>
    <x v="3"/>
    <s v="Asia"/>
    <x v="0"/>
    <s v="Chennai"/>
    <n v="5"/>
    <n v="315000"/>
    <x v="2"/>
    <s v="Performance"/>
    <n v="14"/>
    <x v="0"/>
    <s v="Goodman PLC Tesla"/>
  </r>
  <r>
    <s v="S0793"/>
    <s v="CUST0793"/>
    <x v="498"/>
    <x v="2"/>
    <s v="North America"/>
    <x v="4"/>
    <s v="Fortaleza"/>
    <n v="2"/>
    <n v="144000"/>
    <x v="2"/>
    <s v="Long Range"/>
    <n v="5"/>
    <x v="0"/>
    <s v="Jones and Sons Tesla"/>
  </r>
  <r>
    <s v="S0794"/>
    <s v="CUST0794"/>
    <x v="499"/>
    <x v="2"/>
    <s v="North America"/>
    <x v="1"/>
    <s v="Paris"/>
    <n v="2"/>
    <n v="120000"/>
    <x v="0"/>
    <s v="Standard Range"/>
    <n v="55"/>
    <x v="1"/>
    <s v="Olsen-Salazar Tesla"/>
  </r>
  <r>
    <s v="S0795"/>
    <s v="CUST0795"/>
    <x v="500"/>
    <x v="2"/>
    <s v="Asia"/>
    <x v="2"/>
    <s v="Frankfurt"/>
    <n v="1"/>
    <n v="84000"/>
    <x v="3"/>
    <s v="Performance"/>
    <n v="15"/>
    <x v="0"/>
    <s v="Neal Ltd Tesla"/>
  </r>
  <r>
    <s v="S0796"/>
    <s v="CUST0796"/>
    <x v="500"/>
    <x v="0"/>
    <s v="North America"/>
    <x v="1"/>
    <s v="Marseille"/>
    <n v="4"/>
    <n v="400000"/>
    <x v="0"/>
    <s v="Standard Range"/>
    <n v="12"/>
    <x v="0"/>
    <s v="Burton, Harris and Navarro Tesla"/>
  </r>
  <r>
    <s v="S0797"/>
    <s v="CUST0797"/>
    <x v="501"/>
    <x v="3"/>
    <s v="North America"/>
    <x v="4"/>
    <s v="Salvador"/>
    <n v="3"/>
    <n v="162000"/>
    <x v="3"/>
    <s v="Long Range"/>
    <n v="34"/>
    <x v="0"/>
    <s v="Palmer, Palmer and Roberts Tesla"/>
  </r>
  <r>
    <s v="S0798"/>
    <s v="CUST0798"/>
    <x v="50"/>
    <x v="1"/>
    <s v="Europe"/>
    <x v="4"/>
    <s v="Salvador"/>
    <n v="3"/>
    <n v="378000"/>
    <x v="2"/>
    <s v="Performance"/>
    <n v="16"/>
    <x v="0"/>
    <s v="Wilson Ltd Tesla"/>
  </r>
  <r>
    <s v="S0799"/>
    <s v="CUST0799"/>
    <x v="502"/>
    <x v="0"/>
    <s v="Europe"/>
    <x v="9"/>
    <s v="Yokohama"/>
    <n v="3"/>
    <n v="420000"/>
    <x v="0"/>
    <s v="Performance"/>
    <n v="34"/>
    <x v="1"/>
    <s v="Hernandez Ltd Tesla"/>
  </r>
  <r>
    <s v="S0800"/>
    <s v="CUST0800"/>
    <x v="284"/>
    <x v="3"/>
    <s v="Europe"/>
    <x v="4"/>
    <s v="BrasÃ­lia"/>
    <n v="4"/>
    <n v="216000"/>
    <x v="0"/>
    <s v="Long Range"/>
    <n v="56"/>
    <x v="1"/>
    <s v="Yates, Stephens and Rice Tesla"/>
  </r>
  <r>
    <s v="S0801"/>
    <s v="CUST0801"/>
    <x v="265"/>
    <x v="1"/>
    <s v="North America"/>
    <x v="3"/>
    <s v="Ottawa"/>
    <n v="4"/>
    <n v="432000"/>
    <x v="0"/>
    <s v="Long Range"/>
    <n v="50"/>
    <x v="0"/>
    <s v="Drake and Sons Tesla"/>
  </r>
  <r>
    <s v="S0802"/>
    <s v="CUST0802"/>
    <x v="256"/>
    <x v="1"/>
    <s v="Asia"/>
    <x v="1"/>
    <s v="Lyon"/>
    <n v="1"/>
    <n v="126000"/>
    <x v="4"/>
    <s v="Performance"/>
    <n v="9"/>
    <x v="0"/>
    <s v="Lopez, Stone and Martinez Tesla"/>
  </r>
  <r>
    <s v="S0803"/>
    <s v="CUST0803"/>
    <x v="199"/>
    <x v="1"/>
    <s v="Europe"/>
    <x v="0"/>
    <s v="Mumbai"/>
    <n v="3"/>
    <n v="324000"/>
    <x v="0"/>
    <s v="Long Range"/>
    <n v="58"/>
    <x v="1"/>
    <s v="Potts-Robinson Tesla"/>
  </r>
  <r>
    <s v="S0804"/>
    <s v="CUST0804"/>
    <x v="166"/>
    <x v="1"/>
    <s v="North America"/>
    <x v="8"/>
    <s v="Chengdu"/>
    <n v="3"/>
    <n v="378000"/>
    <x v="0"/>
    <s v="Performance"/>
    <n v="52"/>
    <x v="0"/>
    <s v="Smith-Cook Tesla"/>
  </r>
  <r>
    <s v="S0805"/>
    <s v="CUST0805"/>
    <x v="503"/>
    <x v="3"/>
    <s v="Asia"/>
    <x v="0"/>
    <s v="Hyderabad"/>
    <n v="1"/>
    <n v="63000"/>
    <x v="2"/>
    <s v="Performance"/>
    <n v="8"/>
    <x v="0"/>
    <s v="Carter-Bailey Tesla"/>
  </r>
  <r>
    <s v="S0806"/>
    <s v="CUST0806"/>
    <x v="504"/>
    <x v="1"/>
    <s v="Asia"/>
    <x v="5"/>
    <s v="New York"/>
    <n v="4"/>
    <n v="504000"/>
    <x v="1"/>
    <s v="Performance"/>
    <n v="23"/>
    <x v="1"/>
    <s v="Smith-Jacobson Tesla"/>
  </r>
  <r>
    <s v="S0807"/>
    <s v="CUST0807"/>
    <x v="106"/>
    <x v="0"/>
    <s v="North America"/>
    <x v="9"/>
    <s v="Tokyo"/>
    <n v="4"/>
    <n v="480000"/>
    <x v="2"/>
    <s v="Long Range"/>
    <n v="15"/>
    <x v="0"/>
    <s v="Weber-Rivera Tesla"/>
  </r>
  <r>
    <s v="S0808"/>
    <s v="CUST0808"/>
    <x v="33"/>
    <x v="1"/>
    <s v="Europe"/>
    <x v="8"/>
    <s v="Shanghai"/>
    <n v="5"/>
    <n v="630000"/>
    <x v="2"/>
    <s v="Performance"/>
    <n v="7"/>
    <x v="1"/>
    <s v="Andrade-Franklin Tesla"/>
  </r>
  <r>
    <s v="S0809"/>
    <s v="CUST0809"/>
    <x v="505"/>
    <x v="0"/>
    <s v="North America"/>
    <x v="3"/>
    <s v="Toronto"/>
    <n v="5"/>
    <n v="500000"/>
    <x v="2"/>
    <s v="Standard Range"/>
    <n v="27"/>
    <x v="0"/>
    <s v="Carroll-Morris Tesla"/>
  </r>
  <r>
    <s v="S0810"/>
    <s v="CUST0810"/>
    <x v="25"/>
    <x v="2"/>
    <s v="North America"/>
    <x v="1"/>
    <s v="Toulouse"/>
    <n v="5"/>
    <n v="300000"/>
    <x v="0"/>
    <s v="Standard Range"/>
    <n v="39"/>
    <x v="1"/>
    <s v="Hernandez-Moore Tesla"/>
  </r>
  <r>
    <s v="S0811"/>
    <s v="CUST0811"/>
    <x v="506"/>
    <x v="1"/>
    <s v="Europe"/>
    <x v="5"/>
    <s v="Los Angeles"/>
    <n v="4"/>
    <n v="504000"/>
    <x v="3"/>
    <s v="Performance"/>
    <n v="45"/>
    <x v="0"/>
    <s v="Wilkinson-Brown Tesla"/>
  </r>
  <r>
    <s v="S0812"/>
    <s v="CUST0812"/>
    <x v="507"/>
    <x v="3"/>
    <s v="North America"/>
    <x v="2"/>
    <s v="Berlin"/>
    <n v="2"/>
    <n v="90000"/>
    <x v="0"/>
    <s v="Standard Range"/>
    <n v="16"/>
    <x v="0"/>
    <s v="Swanson LLC Tesla"/>
  </r>
  <r>
    <s v="S0813"/>
    <s v="CUST0813"/>
    <x v="98"/>
    <x v="1"/>
    <s v="North America"/>
    <x v="5"/>
    <s v="New York"/>
    <n v="5"/>
    <n v="450000"/>
    <x v="4"/>
    <s v="Standard Range"/>
    <n v="13"/>
    <x v="0"/>
    <s v="Keller-Turner Tesla"/>
  </r>
  <r>
    <s v="S0814"/>
    <s v="CUST0814"/>
    <x v="144"/>
    <x v="0"/>
    <s v="Asia"/>
    <x v="3"/>
    <s v="Calgary"/>
    <n v="2"/>
    <n v="200000"/>
    <x v="0"/>
    <s v="Standard Range"/>
    <n v="40"/>
    <x v="0"/>
    <s v="Lowery, Gordon and Davis Tesla"/>
  </r>
  <r>
    <s v="S0815"/>
    <s v="CUST0815"/>
    <x v="264"/>
    <x v="3"/>
    <s v="Asia"/>
    <x v="8"/>
    <s v="Beijing"/>
    <n v="2"/>
    <n v="90000"/>
    <x v="0"/>
    <s v="Standard Range"/>
    <n v="47"/>
    <x v="1"/>
    <s v="Wallace LLC Tesla"/>
  </r>
  <r>
    <s v="S0816"/>
    <s v="CUST0816"/>
    <x v="508"/>
    <x v="0"/>
    <s v="Europe"/>
    <x v="0"/>
    <s v="Chennai"/>
    <n v="3"/>
    <n v="360000"/>
    <x v="4"/>
    <s v="Long Range"/>
    <n v="7"/>
    <x v="1"/>
    <s v="Duncan, Heath and Peterson Tesla"/>
  </r>
  <r>
    <s v="S0817"/>
    <s v="CUST0817"/>
    <x v="47"/>
    <x v="1"/>
    <s v="Europe"/>
    <x v="2"/>
    <s v="Cologne"/>
    <n v="1"/>
    <n v="108000"/>
    <x v="1"/>
    <s v="Long Range"/>
    <n v="55"/>
    <x v="0"/>
    <s v="Meyer Ltd Tesla"/>
  </r>
  <r>
    <s v="S0818"/>
    <s v="CUST0818"/>
    <x v="465"/>
    <x v="3"/>
    <s v="Asia"/>
    <x v="8"/>
    <s v="Guangzhou"/>
    <n v="5"/>
    <n v="225000"/>
    <x v="0"/>
    <s v="Standard Range"/>
    <n v="38"/>
    <x v="1"/>
    <s v="Larson and Sons Tesla"/>
  </r>
  <r>
    <s v="S0819"/>
    <s v="CUST0819"/>
    <x v="509"/>
    <x v="0"/>
    <s v="North America"/>
    <x v="4"/>
    <s v="Fortaleza"/>
    <n v="2"/>
    <n v="280000"/>
    <x v="3"/>
    <s v="Performance"/>
    <n v="12"/>
    <x v="0"/>
    <s v="Ball Ltd Tesla"/>
  </r>
  <r>
    <s v="S0820"/>
    <s v="CUST0820"/>
    <x v="510"/>
    <x v="3"/>
    <s v="Europe"/>
    <x v="7"/>
    <s v="Brisbane"/>
    <n v="2"/>
    <n v="108000"/>
    <x v="4"/>
    <s v="Long Range"/>
    <n v="38"/>
    <x v="0"/>
    <s v="Bullock Inc Tesla"/>
  </r>
  <r>
    <s v="S0821"/>
    <s v="CUST0821"/>
    <x v="511"/>
    <x v="0"/>
    <s v="Asia"/>
    <x v="6"/>
    <s v="Leeds"/>
    <n v="5"/>
    <n v="700000"/>
    <x v="3"/>
    <s v="Performance"/>
    <n v="18"/>
    <x v="0"/>
    <s v="Day, Miller and Daniels Tesla"/>
  </r>
  <r>
    <s v="S0822"/>
    <s v="CUST0822"/>
    <x v="512"/>
    <x v="2"/>
    <s v="North America"/>
    <x v="0"/>
    <s v="Delhi"/>
    <n v="2"/>
    <n v="120000"/>
    <x v="0"/>
    <s v="Standard Range"/>
    <n v="6"/>
    <x v="0"/>
    <s v="Nelson Group Tesla"/>
  </r>
  <r>
    <s v="S0823"/>
    <s v="CUST0823"/>
    <x v="177"/>
    <x v="2"/>
    <s v="Asia"/>
    <x v="4"/>
    <s v="Fortaleza"/>
    <n v="1"/>
    <n v="72000"/>
    <x v="1"/>
    <s v="Long Range"/>
    <n v="53"/>
    <x v="0"/>
    <s v="Jenkins and Sons Tesla"/>
  </r>
  <r>
    <s v="S0824"/>
    <s v="CUST0824"/>
    <x v="93"/>
    <x v="3"/>
    <s v="Europe"/>
    <x v="3"/>
    <s v="Vancouver"/>
    <n v="2"/>
    <n v="90000"/>
    <x v="1"/>
    <s v="Standard Range"/>
    <n v="53"/>
    <x v="0"/>
    <s v="Rose, Elliott and Hill Tesla"/>
  </r>
  <r>
    <s v="S0825"/>
    <s v="CUST0825"/>
    <x v="468"/>
    <x v="0"/>
    <s v="Europe"/>
    <x v="9"/>
    <s v="Yokohama"/>
    <n v="1"/>
    <n v="140000"/>
    <x v="4"/>
    <s v="Performance"/>
    <n v="60"/>
    <x v="1"/>
    <s v="Smith, Moore and White Tesla"/>
  </r>
  <r>
    <s v="S0826"/>
    <s v="CUST0826"/>
    <x v="513"/>
    <x v="0"/>
    <s v="Asia"/>
    <x v="6"/>
    <s v="Birmingham"/>
    <n v="4"/>
    <n v="480000"/>
    <x v="0"/>
    <s v="Long Range"/>
    <n v="22"/>
    <x v="1"/>
    <s v="Mcdowell Group Tesla"/>
  </r>
  <r>
    <s v="S0827"/>
    <s v="CUST0827"/>
    <x v="31"/>
    <x v="2"/>
    <s v="North America"/>
    <x v="8"/>
    <s v="Chengdu"/>
    <n v="1"/>
    <n v="84000"/>
    <x v="2"/>
    <s v="Performance"/>
    <n v="56"/>
    <x v="1"/>
    <s v="Hansen, Myers and Cox Tesla"/>
  </r>
  <r>
    <s v="S0828"/>
    <s v="CUST0828"/>
    <x v="438"/>
    <x v="0"/>
    <s v="North America"/>
    <x v="4"/>
    <s v="BrasÃ­lia"/>
    <n v="5"/>
    <n v="600000"/>
    <x v="0"/>
    <s v="Long Range"/>
    <n v="54"/>
    <x v="1"/>
    <s v="Miller, Harrison and Gonzales Tesla"/>
  </r>
  <r>
    <s v="S0829"/>
    <s v="CUST0829"/>
    <x v="179"/>
    <x v="2"/>
    <s v="Europe"/>
    <x v="6"/>
    <s v="Liverpool"/>
    <n v="2"/>
    <n v="168000"/>
    <x v="2"/>
    <s v="Performance"/>
    <n v="9"/>
    <x v="1"/>
    <s v="Oliver-Brown Tesla"/>
  </r>
  <r>
    <s v="S0830"/>
    <s v="CUST0830"/>
    <x v="296"/>
    <x v="2"/>
    <s v="Asia"/>
    <x v="7"/>
    <s v="Melbourne"/>
    <n v="1"/>
    <n v="60000"/>
    <x v="0"/>
    <s v="Standard Range"/>
    <n v="12"/>
    <x v="1"/>
    <s v="Johnson, Young and Nelson Tesla"/>
  </r>
  <r>
    <s v="S0831"/>
    <s v="CUST0831"/>
    <x v="221"/>
    <x v="0"/>
    <s v="Asia"/>
    <x v="6"/>
    <s v="Leeds"/>
    <n v="5"/>
    <n v="500000"/>
    <x v="4"/>
    <s v="Standard Range"/>
    <n v="52"/>
    <x v="1"/>
    <s v="Porter, Johnson and Thompson Tesla"/>
  </r>
  <r>
    <s v="S0832"/>
    <s v="CUST0832"/>
    <x v="199"/>
    <x v="2"/>
    <s v="North America"/>
    <x v="5"/>
    <s v="San Francisco"/>
    <n v="3"/>
    <n v="216000"/>
    <x v="3"/>
    <s v="Long Range"/>
    <n v="19"/>
    <x v="1"/>
    <s v="Warren, Palmer and Bautista Tesla"/>
  </r>
  <r>
    <s v="S0833"/>
    <s v="CUST0833"/>
    <x v="97"/>
    <x v="0"/>
    <s v="North America"/>
    <x v="6"/>
    <s v="Manchester"/>
    <n v="2"/>
    <n v="200000"/>
    <x v="3"/>
    <s v="Standard Range"/>
    <n v="24"/>
    <x v="1"/>
    <s v="Murphy, Garza and Martinez Tesla"/>
  </r>
  <r>
    <s v="S0834"/>
    <s v="CUST0834"/>
    <x v="222"/>
    <x v="2"/>
    <s v="Europe"/>
    <x v="6"/>
    <s v="Birmingham"/>
    <n v="4"/>
    <n v="336000"/>
    <x v="0"/>
    <s v="Performance"/>
    <n v="51"/>
    <x v="0"/>
    <s v="Mann-Ramos Tesla"/>
  </r>
  <r>
    <s v="S0835"/>
    <s v="CUST0835"/>
    <x v="310"/>
    <x v="0"/>
    <s v="Europe"/>
    <x v="2"/>
    <s v="Berlin"/>
    <n v="3"/>
    <n v="420000"/>
    <x v="0"/>
    <s v="Performance"/>
    <n v="9"/>
    <x v="0"/>
    <s v="Lane Inc Tesla"/>
  </r>
  <r>
    <s v="S0836"/>
    <s v="CUST0836"/>
    <x v="444"/>
    <x v="3"/>
    <s v="Asia"/>
    <x v="8"/>
    <s v="Shenzhen"/>
    <n v="3"/>
    <n v="162000"/>
    <x v="1"/>
    <s v="Long Range"/>
    <n v="36"/>
    <x v="1"/>
    <s v="Wright, Rodgers and Gaines Tesla"/>
  </r>
  <r>
    <s v="S0837"/>
    <s v="CUST0837"/>
    <x v="68"/>
    <x v="1"/>
    <s v="Europe"/>
    <x v="2"/>
    <s v="Frankfurt"/>
    <n v="2"/>
    <n v="180000"/>
    <x v="0"/>
    <s v="Standard Range"/>
    <n v="23"/>
    <x v="0"/>
    <s v="Perez Group Tesla"/>
  </r>
  <r>
    <s v="S0838"/>
    <s v="CUST0838"/>
    <x v="333"/>
    <x v="2"/>
    <s v="Europe"/>
    <x v="1"/>
    <s v="Paris"/>
    <n v="5"/>
    <n v="300000"/>
    <x v="1"/>
    <s v="Standard Range"/>
    <n v="16"/>
    <x v="1"/>
    <s v="Whitney and Sons Tesla"/>
  </r>
  <r>
    <s v="S0839"/>
    <s v="CUST0839"/>
    <x v="514"/>
    <x v="3"/>
    <s v="Europe"/>
    <x v="8"/>
    <s v="Shenzhen"/>
    <n v="1"/>
    <n v="45000"/>
    <x v="0"/>
    <s v="Standard Range"/>
    <n v="51"/>
    <x v="0"/>
    <s v="Potter, Hoover and Powell Tesla"/>
  </r>
  <r>
    <s v="S0840"/>
    <s v="CUST0840"/>
    <x v="242"/>
    <x v="3"/>
    <s v="Asia"/>
    <x v="7"/>
    <s v="Adelaide"/>
    <n v="4"/>
    <n v="180000"/>
    <x v="0"/>
    <s v="Standard Range"/>
    <n v="24"/>
    <x v="0"/>
    <s v="Austin Inc Tesla"/>
  </r>
  <r>
    <s v="S0841"/>
    <s v="CUST0841"/>
    <x v="404"/>
    <x v="2"/>
    <s v="Europe"/>
    <x v="6"/>
    <s v="Birmingham"/>
    <n v="2"/>
    <n v="120000"/>
    <x v="1"/>
    <s v="Standard Range"/>
    <n v="26"/>
    <x v="0"/>
    <s v="Booth-Contreras Tesla"/>
  </r>
  <r>
    <s v="S0842"/>
    <s v="CUST0842"/>
    <x v="515"/>
    <x v="0"/>
    <s v="Europe"/>
    <x v="7"/>
    <s v="Sydney"/>
    <n v="5"/>
    <n v="600000"/>
    <x v="0"/>
    <s v="Long Range"/>
    <n v="20"/>
    <x v="1"/>
    <s v="Robbins, Russell and Jimenez Tesla"/>
  </r>
  <r>
    <s v="S0843"/>
    <s v="CUST0843"/>
    <x v="86"/>
    <x v="1"/>
    <s v="North America"/>
    <x v="8"/>
    <s v="Chengdu"/>
    <n v="2"/>
    <n v="252000"/>
    <x v="0"/>
    <s v="Performance"/>
    <n v="51"/>
    <x v="1"/>
    <s v="Wade-Baker Tesla"/>
  </r>
  <r>
    <s v="S0844"/>
    <s v="CUST0844"/>
    <x v="516"/>
    <x v="1"/>
    <s v="North America"/>
    <x v="9"/>
    <s v="Osaka"/>
    <n v="3"/>
    <n v="324000"/>
    <x v="1"/>
    <s v="Long Range"/>
    <n v="41"/>
    <x v="1"/>
    <s v="Davis, Thomas and Pittman Tesla"/>
  </r>
  <r>
    <s v="S0845"/>
    <s v="CUST0845"/>
    <x v="517"/>
    <x v="3"/>
    <s v="North America"/>
    <x v="8"/>
    <s v="Chengdu"/>
    <n v="4"/>
    <n v="216000"/>
    <x v="0"/>
    <s v="Long Range"/>
    <n v="29"/>
    <x v="1"/>
    <s v="Anthony, Austin and Wu Tesla"/>
  </r>
  <r>
    <s v="S0846"/>
    <s v="CUST0846"/>
    <x v="518"/>
    <x v="0"/>
    <s v="North America"/>
    <x v="3"/>
    <s v="Montreal"/>
    <n v="2"/>
    <n v="240000"/>
    <x v="4"/>
    <s v="Long Range"/>
    <n v="46"/>
    <x v="1"/>
    <s v="Garcia-Allen Tesla"/>
  </r>
  <r>
    <s v="S0847"/>
    <s v="CUST0847"/>
    <x v="519"/>
    <x v="3"/>
    <s v="Asia"/>
    <x v="5"/>
    <s v="New York"/>
    <n v="2"/>
    <n v="126000"/>
    <x v="3"/>
    <s v="Performance"/>
    <n v="20"/>
    <x v="0"/>
    <s v="Gray and Sons Tesla"/>
  </r>
  <r>
    <s v="S0848"/>
    <s v="CUST0848"/>
    <x v="133"/>
    <x v="0"/>
    <s v="Asia"/>
    <x v="8"/>
    <s v="Shenzhen"/>
    <n v="3"/>
    <n v="420000"/>
    <x v="4"/>
    <s v="Performance"/>
    <n v="50"/>
    <x v="1"/>
    <s v="Moody PLC Tesla"/>
  </r>
  <r>
    <s v="S0849"/>
    <s v="CUST0849"/>
    <x v="265"/>
    <x v="3"/>
    <s v="Asia"/>
    <x v="3"/>
    <s v="Toronto"/>
    <n v="2"/>
    <n v="108000"/>
    <x v="3"/>
    <s v="Long Range"/>
    <n v="11"/>
    <x v="1"/>
    <s v="West-Anderson Tesla"/>
  </r>
  <r>
    <s v="S0850"/>
    <s v="CUST0850"/>
    <x v="116"/>
    <x v="3"/>
    <s v="Europe"/>
    <x v="3"/>
    <s v="Montreal"/>
    <n v="5"/>
    <n v="315000"/>
    <x v="2"/>
    <s v="Performance"/>
    <n v="48"/>
    <x v="1"/>
    <s v="Hampton, Mcdonald and Hawkins Tesla"/>
  </r>
  <r>
    <s v="S0851"/>
    <s v="CUST0851"/>
    <x v="520"/>
    <x v="0"/>
    <s v="Europe"/>
    <x v="7"/>
    <s v="Perth"/>
    <n v="1"/>
    <n v="100000"/>
    <x v="2"/>
    <s v="Standard Range"/>
    <n v="6"/>
    <x v="0"/>
    <s v="Austin, Nguyen and Galvan Tesla"/>
  </r>
  <r>
    <s v="S0852"/>
    <s v="CUST0852"/>
    <x v="521"/>
    <x v="1"/>
    <s v="Europe"/>
    <x v="7"/>
    <s v="Brisbane"/>
    <n v="2"/>
    <n v="252000"/>
    <x v="3"/>
    <s v="Performance"/>
    <n v="60"/>
    <x v="1"/>
    <s v="Sexton Group Tesla"/>
  </r>
  <r>
    <s v="S0853"/>
    <s v="CUST0853"/>
    <x v="522"/>
    <x v="0"/>
    <s v="Europe"/>
    <x v="5"/>
    <s v="Chicago"/>
    <n v="3"/>
    <n v="360000"/>
    <x v="1"/>
    <s v="Long Range"/>
    <n v="13"/>
    <x v="0"/>
    <s v="Stokes-Key Tesla"/>
  </r>
  <r>
    <s v="S0854"/>
    <s v="CUST0854"/>
    <x v="247"/>
    <x v="0"/>
    <s v="Europe"/>
    <x v="0"/>
    <s v="Bangalore"/>
    <n v="5"/>
    <n v="500000"/>
    <x v="0"/>
    <s v="Standard Range"/>
    <n v="42"/>
    <x v="1"/>
    <s v="Cross Ltd Tesla"/>
  </r>
  <r>
    <s v="S0855"/>
    <s v="CUST0855"/>
    <x v="422"/>
    <x v="0"/>
    <s v="Asia"/>
    <x v="0"/>
    <s v="Hyderabad"/>
    <n v="4"/>
    <n v="560000"/>
    <x v="0"/>
    <s v="Performance"/>
    <n v="36"/>
    <x v="1"/>
    <s v="Lopez Ltd Tesla"/>
  </r>
  <r>
    <s v="S0856"/>
    <s v="CUST0856"/>
    <x v="208"/>
    <x v="0"/>
    <s v="North America"/>
    <x v="3"/>
    <s v="Ottawa"/>
    <n v="2"/>
    <n v="240000"/>
    <x v="1"/>
    <s v="Long Range"/>
    <n v="56"/>
    <x v="0"/>
    <s v="Collins, Austin and Rubio Tesla"/>
  </r>
  <r>
    <s v="S0857"/>
    <s v="CUST0857"/>
    <x v="523"/>
    <x v="3"/>
    <s v="Asia"/>
    <x v="0"/>
    <s v="Delhi"/>
    <n v="1"/>
    <n v="63000"/>
    <x v="1"/>
    <s v="Performance"/>
    <n v="5"/>
    <x v="1"/>
    <s v="Contreras, Williams and Burnett Tesla"/>
  </r>
  <r>
    <s v="S0858"/>
    <s v="CUST0858"/>
    <x v="524"/>
    <x v="1"/>
    <s v="Asia"/>
    <x v="5"/>
    <s v="Chicago"/>
    <n v="2"/>
    <n v="216000"/>
    <x v="2"/>
    <s v="Long Range"/>
    <n v="19"/>
    <x v="0"/>
    <s v="Brooks-Harris Tesla"/>
  </r>
  <r>
    <s v="S0859"/>
    <s v="CUST0859"/>
    <x v="283"/>
    <x v="2"/>
    <s v="Europe"/>
    <x v="9"/>
    <s v="Nagoya"/>
    <n v="5"/>
    <n v="420000"/>
    <x v="3"/>
    <s v="Performance"/>
    <n v="5"/>
    <x v="0"/>
    <s v="Sanders, Anderson and Hall Tesla"/>
  </r>
  <r>
    <s v="S0860"/>
    <s v="CUST0860"/>
    <x v="525"/>
    <x v="0"/>
    <s v="Asia"/>
    <x v="8"/>
    <s v="Beijing"/>
    <n v="3"/>
    <n v="360000"/>
    <x v="2"/>
    <s v="Long Range"/>
    <n v="60"/>
    <x v="1"/>
    <s v="Foster, Foster and Vaughn Tesla"/>
  </r>
  <r>
    <s v="S0861"/>
    <s v="CUST0861"/>
    <x v="12"/>
    <x v="3"/>
    <s v="North America"/>
    <x v="2"/>
    <s v="Berlin"/>
    <n v="1"/>
    <n v="54000"/>
    <x v="4"/>
    <s v="Long Range"/>
    <n v="27"/>
    <x v="0"/>
    <s v="Coffey, Johnson and Moran Tesla"/>
  </r>
  <r>
    <s v="S0862"/>
    <s v="CUST0862"/>
    <x v="508"/>
    <x v="3"/>
    <s v="Europe"/>
    <x v="2"/>
    <s v="Munich"/>
    <n v="5"/>
    <n v="315000"/>
    <x v="0"/>
    <s v="Performance"/>
    <n v="5"/>
    <x v="0"/>
    <s v="Reynolds LLC Tesla"/>
  </r>
  <r>
    <s v="S0863"/>
    <s v="CUST0863"/>
    <x v="526"/>
    <x v="2"/>
    <s v="Europe"/>
    <x v="7"/>
    <s v="Sydney"/>
    <n v="1"/>
    <n v="84000"/>
    <x v="3"/>
    <s v="Performance"/>
    <n v="25"/>
    <x v="0"/>
    <s v="Smith, Massey and Kelly Tesla"/>
  </r>
  <r>
    <s v="S0864"/>
    <s v="CUST0864"/>
    <x v="527"/>
    <x v="2"/>
    <s v="Asia"/>
    <x v="0"/>
    <s v="Hyderabad"/>
    <n v="1"/>
    <n v="60000"/>
    <x v="2"/>
    <s v="Standard Range"/>
    <n v="48"/>
    <x v="0"/>
    <s v="Frank LLC Tesla"/>
  </r>
  <r>
    <s v="S0865"/>
    <s v="CUST0865"/>
    <x v="63"/>
    <x v="3"/>
    <s v="North America"/>
    <x v="5"/>
    <s v="New York"/>
    <n v="5"/>
    <n v="315000"/>
    <x v="4"/>
    <s v="Performance"/>
    <n v="10"/>
    <x v="0"/>
    <s v="Pennington-Murphy Tesla"/>
  </r>
  <r>
    <s v="S0866"/>
    <s v="CUST0866"/>
    <x v="357"/>
    <x v="0"/>
    <s v="North America"/>
    <x v="5"/>
    <s v="Chicago"/>
    <n v="5"/>
    <n v="700000"/>
    <x v="0"/>
    <s v="Performance"/>
    <n v="30"/>
    <x v="0"/>
    <s v="Booth, Garcia and Smith Tesla"/>
  </r>
  <r>
    <s v="S0867"/>
    <s v="CUST0867"/>
    <x v="528"/>
    <x v="2"/>
    <s v="North America"/>
    <x v="3"/>
    <s v="Vancouver"/>
    <n v="2"/>
    <n v="168000"/>
    <x v="2"/>
    <s v="Performance"/>
    <n v="14"/>
    <x v="1"/>
    <s v="Stevens, Christensen and Jones Tesla"/>
  </r>
  <r>
    <s v="S0868"/>
    <s v="CUST0868"/>
    <x v="411"/>
    <x v="3"/>
    <s v="North America"/>
    <x v="2"/>
    <s v="Frankfurt"/>
    <n v="4"/>
    <n v="216000"/>
    <x v="0"/>
    <s v="Long Range"/>
    <n v="36"/>
    <x v="1"/>
    <s v="Johnson, Bates and Campbell Tesla"/>
  </r>
  <r>
    <s v="S0869"/>
    <s v="CUST0869"/>
    <x v="460"/>
    <x v="0"/>
    <s v="Europe"/>
    <x v="7"/>
    <s v="Sydney"/>
    <n v="2"/>
    <n v="280000"/>
    <x v="0"/>
    <s v="Performance"/>
    <n v="25"/>
    <x v="0"/>
    <s v="Sullivan Inc Tesla"/>
  </r>
  <r>
    <s v="S0870"/>
    <s v="CUST0870"/>
    <x v="524"/>
    <x v="2"/>
    <s v="Asia"/>
    <x v="6"/>
    <s v="Leeds"/>
    <n v="3"/>
    <n v="252000"/>
    <x v="3"/>
    <s v="Performance"/>
    <n v="26"/>
    <x v="1"/>
    <s v="Carter PLC Tesla"/>
  </r>
  <r>
    <s v="S0871"/>
    <s v="CUST0871"/>
    <x v="240"/>
    <x v="1"/>
    <s v="Europe"/>
    <x v="5"/>
    <s v="Los Angeles"/>
    <n v="1"/>
    <n v="108000"/>
    <x v="3"/>
    <s v="Long Range"/>
    <n v="60"/>
    <x v="1"/>
    <s v="Lawrence and Sons Tesla"/>
  </r>
  <r>
    <s v="S0872"/>
    <s v="CUST0872"/>
    <x v="484"/>
    <x v="1"/>
    <s v="Asia"/>
    <x v="5"/>
    <s v="Los Angeles"/>
    <n v="4"/>
    <n v="360000"/>
    <x v="2"/>
    <s v="Standard Range"/>
    <n v="52"/>
    <x v="0"/>
    <s v="Brown-Gilbert Tesla"/>
  </r>
  <r>
    <s v="S0873"/>
    <s v="CUST0873"/>
    <x v="173"/>
    <x v="3"/>
    <s v="North America"/>
    <x v="8"/>
    <s v="Guangzhou"/>
    <n v="4"/>
    <n v="252000"/>
    <x v="1"/>
    <s v="Performance"/>
    <n v="22"/>
    <x v="1"/>
    <s v="Hughes, Garcia and Hickman Tesla"/>
  </r>
  <r>
    <s v="S0874"/>
    <s v="CUST0874"/>
    <x v="529"/>
    <x v="3"/>
    <s v="North America"/>
    <x v="4"/>
    <s v="BrasÃ­lia"/>
    <n v="1"/>
    <n v="63000"/>
    <x v="4"/>
    <s v="Performance"/>
    <n v="44"/>
    <x v="0"/>
    <s v="Bailey PLC Tesla"/>
  </r>
  <r>
    <s v="S0875"/>
    <s v="CUST0875"/>
    <x v="530"/>
    <x v="2"/>
    <s v="North America"/>
    <x v="4"/>
    <s v="SÃ£o Paulo"/>
    <n v="1"/>
    <n v="84000"/>
    <x v="3"/>
    <s v="Performance"/>
    <n v="54"/>
    <x v="0"/>
    <s v="Mann Inc Tesla"/>
  </r>
  <r>
    <s v="S0876"/>
    <s v="CUST0876"/>
    <x v="531"/>
    <x v="3"/>
    <s v="North America"/>
    <x v="2"/>
    <s v="Frankfurt"/>
    <n v="5"/>
    <n v="315000"/>
    <x v="2"/>
    <s v="Performance"/>
    <n v="41"/>
    <x v="0"/>
    <s v="Moran-Lopez Tesla"/>
  </r>
  <r>
    <s v="S0877"/>
    <s v="CUST0877"/>
    <x v="62"/>
    <x v="0"/>
    <s v="Asia"/>
    <x v="5"/>
    <s v="San Francisco"/>
    <n v="2"/>
    <n v="200000"/>
    <x v="0"/>
    <s v="Standard Range"/>
    <n v="46"/>
    <x v="0"/>
    <s v="Tanner and Sons Tesla"/>
  </r>
  <r>
    <s v="S0878"/>
    <s v="CUST0878"/>
    <x v="88"/>
    <x v="2"/>
    <s v="Europe"/>
    <x v="3"/>
    <s v="Ottawa"/>
    <n v="1"/>
    <n v="84000"/>
    <x v="2"/>
    <s v="Performance"/>
    <n v="8"/>
    <x v="0"/>
    <s v="Howard Inc Tesla"/>
  </r>
  <r>
    <s v="S0879"/>
    <s v="CUST0879"/>
    <x v="48"/>
    <x v="0"/>
    <s v="North America"/>
    <x v="0"/>
    <s v="Bangalore"/>
    <n v="2"/>
    <n v="280000"/>
    <x v="4"/>
    <s v="Performance"/>
    <n v="16"/>
    <x v="1"/>
    <s v="Jackson PLC Tesla"/>
  </r>
  <r>
    <s v="S0880"/>
    <s v="CUST0880"/>
    <x v="479"/>
    <x v="2"/>
    <s v="North America"/>
    <x v="8"/>
    <s v="Shenzhen"/>
    <n v="3"/>
    <n v="216000"/>
    <x v="3"/>
    <s v="Long Range"/>
    <n v="47"/>
    <x v="1"/>
    <s v="Lewis-Henry Tesla"/>
  </r>
  <r>
    <s v="S0881"/>
    <s v="CUST0881"/>
    <x v="532"/>
    <x v="0"/>
    <s v="Europe"/>
    <x v="7"/>
    <s v="Sydney"/>
    <n v="4"/>
    <n v="560000"/>
    <x v="3"/>
    <s v="Performance"/>
    <n v="43"/>
    <x v="0"/>
    <s v="Green Ltd Tesla"/>
  </r>
  <r>
    <s v="S0882"/>
    <s v="CUST0882"/>
    <x v="321"/>
    <x v="2"/>
    <s v="North America"/>
    <x v="5"/>
    <s v="San Francisco"/>
    <n v="4"/>
    <n v="240000"/>
    <x v="4"/>
    <s v="Standard Range"/>
    <n v="27"/>
    <x v="0"/>
    <s v="Brown, Robinson and Green Tesla"/>
  </r>
  <r>
    <s v="S0883"/>
    <s v="CUST0883"/>
    <x v="514"/>
    <x v="3"/>
    <s v="Asia"/>
    <x v="7"/>
    <s v="Melbourne"/>
    <n v="4"/>
    <n v="216000"/>
    <x v="3"/>
    <s v="Long Range"/>
    <n v="15"/>
    <x v="0"/>
    <s v="Vasquez-Hutchinson Tesla"/>
  </r>
  <r>
    <s v="S0884"/>
    <s v="CUST0884"/>
    <x v="237"/>
    <x v="3"/>
    <s v="Europe"/>
    <x v="9"/>
    <s v="Sapporo"/>
    <n v="2"/>
    <n v="90000"/>
    <x v="2"/>
    <s v="Standard Range"/>
    <n v="45"/>
    <x v="0"/>
    <s v="Scott, Poole and Diaz Tesla"/>
  </r>
  <r>
    <s v="S0885"/>
    <s v="CUST0885"/>
    <x v="251"/>
    <x v="1"/>
    <s v="North America"/>
    <x v="1"/>
    <s v="Lyon"/>
    <n v="1"/>
    <n v="90000"/>
    <x v="3"/>
    <s v="Standard Range"/>
    <n v="23"/>
    <x v="0"/>
    <s v="Liu-Abbott Tesla"/>
  </r>
  <r>
    <s v="S0886"/>
    <s v="CUST0886"/>
    <x v="436"/>
    <x v="1"/>
    <s v="North America"/>
    <x v="1"/>
    <s v="Lyon"/>
    <n v="1"/>
    <n v="126000"/>
    <x v="3"/>
    <s v="Performance"/>
    <n v="44"/>
    <x v="0"/>
    <s v="Hudson PLC Tesla"/>
  </r>
  <r>
    <s v="S0887"/>
    <s v="CUST0887"/>
    <x v="510"/>
    <x v="1"/>
    <s v="Asia"/>
    <x v="1"/>
    <s v="Paris"/>
    <n v="4"/>
    <n v="432000"/>
    <x v="1"/>
    <s v="Long Range"/>
    <n v="29"/>
    <x v="1"/>
    <s v="Logan-Bowen Tesla"/>
  </r>
  <r>
    <s v="S0888"/>
    <s v="CUST0888"/>
    <x v="12"/>
    <x v="1"/>
    <s v="North America"/>
    <x v="3"/>
    <s v="Calgary"/>
    <n v="3"/>
    <n v="378000"/>
    <x v="3"/>
    <s v="Performance"/>
    <n v="27"/>
    <x v="1"/>
    <s v="Strickland and Sons Tesla"/>
  </r>
  <r>
    <s v="S0889"/>
    <s v="CUST0889"/>
    <x v="484"/>
    <x v="0"/>
    <s v="Europe"/>
    <x v="8"/>
    <s v="Beijing"/>
    <n v="2"/>
    <n v="280000"/>
    <x v="2"/>
    <s v="Performance"/>
    <n v="43"/>
    <x v="1"/>
    <s v="Bailey and Sons Tesla"/>
  </r>
  <r>
    <s v="S0890"/>
    <s v="CUST0890"/>
    <x v="242"/>
    <x v="2"/>
    <s v="North America"/>
    <x v="8"/>
    <s v="Guangzhou"/>
    <n v="2"/>
    <n v="168000"/>
    <x v="3"/>
    <s v="Performance"/>
    <n v="15"/>
    <x v="0"/>
    <s v="Foster, Johnson and Brown Tesla"/>
  </r>
  <r>
    <s v="S0891"/>
    <s v="CUST0891"/>
    <x v="25"/>
    <x v="3"/>
    <s v="Asia"/>
    <x v="6"/>
    <s v="Liverpool"/>
    <n v="2"/>
    <n v="126000"/>
    <x v="0"/>
    <s v="Performance"/>
    <n v="54"/>
    <x v="1"/>
    <s v="Roberts-Moore Tesla"/>
  </r>
  <r>
    <s v="S0892"/>
    <s v="CUST0892"/>
    <x v="315"/>
    <x v="3"/>
    <s v="North America"/>
    <x v="6"/>
    <s v="Manchester"/>
    <n v="3"/>
    <n v="135000"/>
    <x v="3"/>
    <s v="Standard Range"/>
    <n v="47"/>
    <x v="0"/>
    <s v="Carrillo, Simmons and Harmon Tesla"/>
  </r>
  <r>
    <s v="S0893"/>
    <s v="CUST0893"/>
    <x v="533"/>
    <x v="3"/>
    <s v="Europe"/>
    <x v="3"/>
    <s v="Calgary"/>
    <n v="1"/>
    <n v="54000"/>
    <x v="4"/>
    <s v="Long Range"/>
    <n v="55"/>
    <x v="1"/>
    <s v="Medina-Hamilton Tesla"/>
  </r>
  <r>
    <s v="S0894"/>
    <s v="CUST0894"/>
    <x v="76"/>
    <x v="0"/>
    <s v="Europe"/>
    <x v="5"/>
    <s v="New York"/>
    <n v="3"/>
    <n v="300000"/>
    <x v="2"/>
    <s v="Standard Range"/>
    <n v="16"/>
    <x v="1"/>
    <s v="Bell Group Tesla"/>
  </r>
  <r>
    <s v="S0895"/>
    <s v="CUST0895"/>
    <x v="21"/>
    <x v="2"/>
    <s v="Asia"/>
    <x v="6"/>
    <s v="Birmingham"/>
    <n v="5"/>
    <n v="300000"/>
    <x v="2"/>
    <s v="Standard Range"/>
    <n v="37"/>
    <x v="0"/>
    <s v="Mcintosh, Pham and Daniel Tesla"/>
  </r>
  <r>
    <s v="S0896"/>
    <s v="CUST0896"/>
    <x v="529"/>
    <x v="3"/>
    <s v="Asia"/>
    <x v="6"/>
    <s v="London"/>
    <n v="3"/>
    <n v="162000"/>
    <x v="3"/>
    <s v="Long Range"/>
    <n v="22"/>
    <x v="0"/>
    <s v="Gomez-Miller Tesla"/>
  </r>
  <r>
    <s v="S0897"/>
    <s v="CUST0897"/>
    <x v="315"/>
    <x v="2"/>
    <s v="North America"/>
    <x v="1"/>
    <s v="Paris"/>
    <n v="1"/>
    <n v="84000"/>
    <x v="4"/>
    <s v="Performance"/>
    <n v="30"/>
    <x v="0"/>
    <s v="Garcia-Thomas Tesla"/>
  </r>
  <r>
    <s v="S0898"/>
    <s v="CUST0898"/>
    <x v="35"/>
    <x v="3"/>
    <s v="Europe"/>
    <x v="0"/>
    <s v="Hyderabad"/>
    <n v="3"/>
    <n v="189000"/>
    <x v="0"/>
    <s v="Performance"/>
    <n v="34"/>
    <x v="1"/>
    <s v="Marshall, Patel and Young Tesla"/>
  </r>
  <r>
    <s v="S0899"/>
    <s v="CUST0899"/>
    <x v="252"/>
    <x v="2"/>
    <s v="Europe"/>
    <x v="7"/>
    <s v="Adelaide"/>
    <n v="1"/>
    <n v="84000"/>
    <x v="3"/>
    <s v="Performance"/>
    <n v="22"/>
    <x v="1"/>
    <s v="Murray, Hansen and Johnson Tesla"/>
  </r>
  <r>
    <s v="S0900"/>
    <s v="CUST0900"/>
    <x v="534"/>
    <x v="0"/>
    <s v="Asia"/>
    <x v="9"/>
    <s v="Yokohama"/>
    <n v="3"/>
    <n v="420000"/>
    <x v="4"/>
    <s v="Performance"/>
    <n v="26"/>
    <x v="0"/>
    <s v="Martinez and Sons Tesla"/>
  </r>
  <r>
    <s v="S0901"/>
    <s v="CUST0901"/>
    <x v="224"/>
    <x v="3"/>
    <s v="Asia"/>
    <x v="9"/>
    <s v="Sapporo"/>
    <n v="2"/>
    <n v="126000"/>
    <x v="1"/>
    <s v="Performance"/>
    <n v="24"/>
    <x v="0"/>
    <s v="Coleman-Paul Tesla"/>
  </r>
  <r>
    <s v="S0902"/>
    <s v="CUST0902"/>
    <x v="366"/>
    <x v="2"/>
    <s v="Europe"/>
    <x v="6"/>
    <s v="Manchester"/>
    <n v="5"/>
    <n v="360000"/>
    <x v="4"/>
    <s v="Long Range"/>
    <n v="36"/>
    <x v="0"/>
    <s v="Sandoval Inc Tesla"/>
  </r>
  <r>
    <s v="S0903"/>
    <s v="CUST0903"/>
    <x v="382"/>
    <x v="2"/>
    <s v="North America"/>
    <x v="6"/>
    <s v="London"/>
    <n v="1"/>
    <n v="72000"/>
    <x v="1"/>
    <s v="Long Range"/>
    <n v="19"/>
    <x v="1"/>
    <s v="Rhodes Group Tesla"/>
  </r>
  <r>
    <s v="S0904"/>
    <s v="CUST0904"/>
    <x v="312"/>
    <x v="1"/>
    <s v="Asia"/>
    <x v="5"/>
    <s v="Los Angeles"/>
    <n v="4"/>
    <n v="504000"/>
    <x v="2"/>
    <s v="Performance"/>
    <n v="18"/>
    <x v="0"/>
    <s v="Harris, Brown and Ayers Tesla"/>
  </r>
  <r>
    <s v="S0905"/>
    <s v="CUST0905"/>
    <x v="66"/>
    <x v="1"/>
    <s v="Asia"/>
    <x v="9"/>
    <s v="Osaka"/>
    <n v="4"/>
    <n v="432000"/>
    <x v="2"/>
    <s v="Long Range"/>
    <n v="14"/>
    <x v="0"/>
    <s v="Montgomery, Mathis and Ballard Tesla"/>
  </r>
  <r>
    <s v="S0906"/>
    <s v="CUST0906"/>
    <x v="282"/>
    <x v="0"/>
    <s v="North America"/>
    <x v="4"/>
    <s v="SÃ£o Paulo"/>
    <n v="3"/>
    <n v="300000"/>
    <x v="2"/>
    <s v="Standard Range"/>
    <n v="8"/>
    <x v="1"/>
    <s v="Fox PLC Tesla"/>
  </r>
  <r>
    <s v="S0907"/>
    <s v="CUST0907"/>
    <x v="504"/>
    <x v="1"/>
    <s v="Europe"/>
    <x v="8"/>
    <s v="Guangzhou"/>
    <n v="2"/>
    <n v="252000"/>
    <x v="2"/>
    <s v="Performance"/>
    <n v="36"/>
    <x v="1"/>
    <s v="Martinez, Holland and Smith Tesla"/>
  </r>
  <r>
    <s v="S0908"/>
    <s v="CUST0908"/>
    <x v="84"/>
    <x v="1"/>
    <s v="North America"/>
    <x v="8"/>
    <s v="Beijing"/>
    <n v="1"/>
    <n v="90000"/>
    <x v="1"/>
    <s v="Standard Range"/>
    <n v="9"/>
    <x v="0"/>
    <s v="Lane PLC Tesla"/>
  </r>
  <r>
    <s v="S0909"/>
    <s v="CUST0909"/>
    <x v="311"/>
    <x v="0"/>
    <s v="North America"/>
    <x v="3"/>
    <s v="Vancouver"/>
    <n v="2"/>
    <n v="280000"/>
    <x v="4"/>
    <s v="Performance"/>
    <n v="44"/>
    <x v="0"/>
    <s v="Smith and Sons Tesla"/>
  </r>
  <r>
    <s v="S0910"/>
    <s v="CUST0910"/>
    <x v="186"/>
    <x v="3"/>
    <s v="North America"/>
    <x v="8"/>
    <s v="Chengdu"/>
    <n v="3"/>
    <n v="162000"/>
    <x v="4"/>
    <s v="Long Range"/>
    <n v="22"/>
    <x v="0"/>
    <s v="Kim Inc Tesla"/>
  </r>
  <r>
    <s v="S0911"/>
    <s v="CUST0911"/>
    <x v="312"/>
    <x v="3"/>
    <s v="Europe"/>
    <x v="3"/>
    <s v="Vancouver"/>
    <n v="3"/>
    <n v="162000"/>
    <x v="0"/>
    <s v="Long Range"/>
    <n v="38"/>
    <x v="0"/>
    <s v="Durham-Liu Tesla"/>
  </r>
  <r>
    <s v="S0912"/>
    <s v="CUST0912"/>
    <x v="535"/>
    <x v="0"/>
    <s v="Asia"/>
    <x v="0"/>
    <s v="Chennai"/>
    <n v="5"/>
    <n v="600000"/>
    <x v="2"/>
    <s v="Long Range"/>
    <n v="55"/>
    <x v="0"/>
    <s v="Jacobs-Hayes Tesla"/>
  </r>
  <r>
    <s v="S0913"/>
    <s v="CUST0913"/>
    <x v="338"/>
    <x v="0"/>
    <s v="Asia"/>
    <x v="6"/>
    <s v="Manchester"/>
    <n v="2"/>
    <n v="240000"/>
    <x v="0"/>
    <s v="Long Range"/>
    <n v="47"/>
    <x v="1"/>
    <s v="Cowan and Sons Tesla"/>
  </r>
  <r>
    <s v="S0914"/>
    <s v="CUST0914"/>
    <x v="363"/>
    <x v="3"/>
    <s v="Asia"/>
    <x v="7"/>
    <s v="Melbourne"/>
    <n v="3"/>
    <n v="135000"/>
    <x v="1"/>
    <s v="Standard Range"/>
    <n v="38"/>
    <x v="0"/>
    <s v="Martin-Harper Tesla"/>
  </r>
  <r>
    <s v="S0915"/>
    <s v="CUST0915"/>
    <x v="536"/>
    <x v="2"/>
    <s v="Asia"/>
    <x v="0"/>
    <s v="Bangalore"/>
    <n v="3"/>
    <n v="216000"/>
    <x v="4"/>
    <s v="Long Range"/>
    <n v="58"/>
    <x v="1"/>
    <s v="Hart-Smith Tesla"/>
  </r>
  <r>
    <s v="S0916"/>
    <s v="CUST0916"/>
    <x v="537"/>
    <x v="3"/>
    <s v="North America"/>
    <x v="3"/>
    <s v="Vancouver"/>
    <n v="4"/>
    <n v="216000"/>
    <x v="0"/>
    <s v="Long Range"/>
    <n v="17"/>
    <x v="1"/>
    <s v="Martinez Ltd Tesla"/>
  </r>
  <r>
    <s v="S0917"/>
    <s v="CUST0917"/>
    <x v="538"/>
    <x v="1"/>
    <s v="Europe"/>
    <x v="9"/>
    <s v="Sapporo"/>
    <n v="2"/>
    <n v="216000"/>
    <x v="3"/>
    <s v="Long Range"/>
    <n v="37"/>
    <x v="0"/>
    <s v="Phillips-Brown Tesla"/>
  </r>
  <r>
    <s v="S0918"/>
    <s v="CUST0918"/>
    <x v="79"/>
    <x v="3"/>
    <s v="Asia"/>
    <x v="5"/>
    <s v="Los Angeles"/>
    <n v="5"/>
    <n v="225000"/>
    <x v="1"/>
    <s v="Standard Range"/>
    <n v="38"/>
    <x v="1"/>
    <s v="Nelson and Sons Tesla"/>
  </r>
  <r>
    <s v="S0919"/>
    <s v="CUST0919"/>
    <x v="386"/>
    <x v="3"/>
    <s v="Europe"/>
    <x v="2"/>
    <s v="Munich"/>
    <n v="2"/>
    <n v="126000"/>
    <x v="1"/>
    <s v="Performance"/>
    <n v="14"/>
    <x v="1"/>
    <s v="Mitchell-Leon Tesla"/>
  </r>
  <r>
    <s v="S0920"/>
    <s v="CUST0920"/>
    <x v="387"/>
    <x v="1"/>
    <s v="Europe"/>
    <x v="8"/>
    <s v="Shenzhen"/>
    <n v="3"/>
    <n v="270000"/>
    <x v="3"/>
    <s v="Standard Range"/>
    <n v="9"/>
    <x v="0"/>
    <s v="Shields-Contreras Tesla"/>
  </r>
  <r>
    <s v="S0921"/>
    <s v="CUST0921"/>
    <x v="198"/>
    <x v="0"/>
    <s v="Europe"/>
    <x v="2"/>
    <s v="Frankfurt"/>
    <n v="2"/>
    <n v="240000"/>
    <x v="4"/>
    <s v="Long Range"/>
    <n v="24"/>
    <x v="0"/>
    <s v="Jones-Cox Tesla"/>
  </r>
  <r>
    <s v="S0922"/>
    <s v="CUST0922"/>
    <x v="539"/>
    <x v="1"/>
    <s v="North America"/>
    <x v="7"/>
    <s v="Melbourne"/>
    <n v="1"/>
    <n v="108000"/>
    <x v="4"/>
    <s v="Long Range"/>
    <n v="14"/>
    <x v="0"/>
    <s v="Flowers, Harrison and Gray Tesla"/>
  </r>
  <r>
    <s v="S0923"/>
    <s v="CUST0923"/>
    <x v="222"/>
    <x v="2"/>
    <s v="Europe"/>
    <x v="9"/>
    <s v="Yokohama"/>
    <n v="5"/>
    <n v="420000"/>
    <x v="0"/>
    <s v="Performance"/>
    <n v="32"/>
    <x v="0"/>
    <s v="Brown, Carroll and Young Tesla"/>
  </r>
  <r>
    <s v="S0924"/>
    <s v="CUST0924"/>
    <x v="168"/>
    <x v="2"/>
    <s v="Asia"/>
    <x v="8"/>
    <s v="Beijing"/>
    <n v="4"/>
    <n v="288000"/>
    <x v="2"/>
    <s v="Long Range"/>
    <n v="19"/>
    <x v="1"/>
    <s v="Singleton Group Tesla"/>
  </r>
  <r>
    <s v="S0925"/>
    <s v="CUST0925"/>
    <x v="72"/>
    <x v="2"/>
    <s v="North America"/>
    <x v="2"/>
    <s v="Cologne"/>
    <n v="2"/>
    <n v="168000"/>
    <x v="2"/>
    <s v="Performance"/>
    <n v="5"/>
    <x v="1"/>
    <s v="Dunn PLC Tesla"/>
  </r>
  <r>
    <s v="S0926"/>
    <s v="CUST0926"/>
    <x v="135"/>
    <x v="0"/>
    <s v="Asia"/>
    <x v="9"/>
    <s v="Sapporo"/>
    <n v="1"/>
    <n v="140000"/>
    <x v="4"/>
    <s v="Performance"/>
    <n v="28"/>
    <x v="1"/>
    <s v="Lara Group Tesla"/>
  </r>
  <r>
    <s v="S0927"/>
    <s v="CUST0927"/>
    <x v="476"/>
    <x v="1"/>
    <s v="North America"/>
    <x v="3"/>
    <s v="Toronto"/>
    <n v="5"/>
    <n v="450000"/>
    <x v="4"/>
    <s v="Standard Range"/>
    <n v="53"/>
    <x v="1"/>
    <s v="Morrison-Jones Tesla"/>
  </r>
  <r>
    <s v="S0928"/>
    <s v="CUST0928"/>
    <x v="143"/>
    <x v="1"/>
    <s v="North America"/>
    <x v="2"/>
    <s v="Cologne"/>
    <n v="5"/>
    <n v="630000"/>
    <x v="2"/>
    <s v="Performance"/>
    <n v="48"/>
    <x v="0"/>
    <s v="Lawson Inc Tesla"/>
  </r>
  <r>
    <s v="S0929"/>
    <s v="CUST0929"/>
    <x v="540"/>
    <x v="3"/>
    <s v="Europe"/>
    <x v="0"/>
    <s v="Mumbai"/>
    <n v="1"/>
    <n v="54000"/>
    <x v="3"/>
    <s v="Long Range"/>
    <n v="42"/>
    <x v="0"/>
    <s v="Burton PLC Tesla"/>
  </r>
  <r>
    <s v="S0930"/>
    <s v="CUST0930"/>
    <x v="541"/>
    <x v="2"/>
    <s v="Europe"/>
    <x v="1"/>
    <s v="Marseille"/>
    <n v="4"/>
    <n v="288000"/>
    <x v="4"/>
    <s v="Long Range"/>
    <n v="17"/>
    <x v="1"/>
    <s v="Bray, Watkins and Henry Tesla"/>
  </r>
  <r>
    <s v="S0931"/>
    <s v="CUST0931"/>
    <x v="542"/>
    <x v="2"/>
    <s v="Europe"/>
    <x v="3"/>
    <s v="Montreal"/>
    <n v="5"/>
    <n v="360000"/>
    <x v="3"/>
    <s v="Long Range"/>
    <n v="8"/>
    <x v="1"/>
    <s v="Rodriguez, Rosario and Harris Tesla"/>
  </r>
  <r>
    <s v="S0932"/>
    <s v="CUST0932"/>
    <x v="390"/>
    <x v="2"/>
    <s v="Europe"/>
    <x v="5"/>
    <s v="Chicago"/>
    <n v="3"/>
    <n v="180000"/>
    <x v="4"/>
    <s v="Standard Range"/>
    <n v="12"/>
    <x v="1"/>
    <s v="Adams, Griffin and Young Tesla"/>
  </r>
  <r>
    <s v="S0933"/>
    <s v="CUST0933"/>
    <x v="129"/>
    <x v="1"/>
    <s v="Europe"/>
    <x v="6"/>
    <s v="London"/>
    <n v="3"/>
    <n v="378000"/>
    <x v="0"/>
    <s v="Performance"/>
    <n v="23"/>
    <x v="1"/>
    <s v="Caldwell, Jordan and Strickland Tesla"/>
  </r>
  <r>
    <s v="S0934"/>
    <s v="CUST0934"/>
    <x v="543"/>
    <x v="1"/>
    <s v="Asia"/>
    <x v="7"/>
    <s v="Brisbane"/>
    <n v="1"/>
    <n v="90000"/>
    <x v="0"/>
    <s v="Standard Range"/>
    <n v="14"/>
    <x v="1"/>
    <s v="Robinson-Mendez Tesla"/>
  </r>
  <r>
    <s v="S0935"/>
    <s v="CUST0935"/>
    <x v="103"/>
    <x v="1"/>
    <s v="Asia"/>
    <x v="8"/>
    <s v="Shanghai"/>
    <n v="5"/>
    <n v="630000"/>
    <x v="2"/>
    <s v="Performance"/>
    <n v="31"/>
    <x v="0"/>
    <s v="Williams, Phillips and Good Tesla"/>
  </r>
  <r>
    <s v="S0936"/>
    <s v="CUST0936"/>
    <x v="54"/>
    <x v="2"/>
    <s v="Asia"/>
    <x v="3"/>
    <s v="Toronto"/>
    <n v="5"/>
    <n v="420000"/>
    <x v="0"/>
    <s v="Performance"/>
    <n v="18"/>
    <x v="1"/>
    <s v="Graham-Johnson Tesla"/>
  </r>
  <r>
    <s v="S0937"/>
    <s v="CUST0937"/>
    <x v="17"/>
    <x v="1"/>
    <s v="Asia"/>
    <x v="8"/>
    <s v="Chengdu"/>
    <n v="1"/>
    <n v="108000"/>
    <x v="3"/>
    <s v="Long Range"/>
    <n v="21"/>
    <x v="0"/>
    <s v="Hernandez Inc Tesla"/>
  </r>
  <r>
    <s v="S0938"/>
    <s v="CUST0938"/>
    <x v="358"/>
    <x v="3"/>
    <s v="Asia"/>
    <x v="5"/>
    <s v="Los Angeles"/>
    <n v="2"/>
    <n v="126000"/>
    <x v="1"/>
    <s v="Performance"/>
    <n v="56"/>
    <x v="0"/>
    <s v="Johnson-Yates Tesla"/>
  </r>
  <r>
    <s v="S0939"/>
    <s v="CUST0939"/>
    <x v="309"/>
    <x v="2"/>
    <s v="Europe"/>
    <x v="3"/>
    <s v="Calgary"/>
    <n v="4"/>
    <n v="336000"/>
    <x v="1"/>
    <s v="Performance"/>
    <n v="31"/>
    <x v="0"/>
    <s v="Brooks, Rowe and Richardson Tesla"/>
  </r>
  <r>
    <s v="S0940"/>
    <s v="CUST0940"/>
    <x v="544"/>
    <x v="0"/>
    <s v="North America"/>
    <x v="5"/>
    <s v="Houston"/>
    <n v="4"/>
    <n v="560000"/>
    <x v="0"/>
    <s v="Performance"/>
    <n v="14"/>
    <x v="0"/>
    <s v="Bruce-Williams Tesla"/>
  </r>
  <r>
    <s v="S0941"/>
    <s v="CUST0941"/>
    <x v="280"/>
    <x v="3"/>
    <s v="North America"/>
    <x v="6"/>
    <s v="Leeds"/>
    <n v="1"/>
    <n v="63000"/>
    <x v="1"/>
    <s v="Performance"/>
    <n v="14"/>
    <x v="0"/>
    <s v="Shaffer PLC Tesla"/>
  </r>
  <r>
    <s v="S0942"/>
    <s v="CUST0942"/>
    <x v="75"/>
    <x v="0"/>
    <s v="North America"/>
    <x v="3"/>
    <s v="Toronto"/>
    <n v="4"/>
    <n v="560000"/>
    <x v="1"/>
    <s v="Performance"/>
    <n v="60"/>
    <x v="0"/>
    <s v="Klein Ltd Tesla"/>
  </r>
  <r>
    <s v="S0943"/>
    <s v="CUST0943"/>
    <x v="545"/>
    <x v="2"/>
    <s v="North America"/>
    <x v="7"/>
    <s v="Adelaide"/>
    <n v="3"/>
    <n v="216000"/>
    <x v="4"/>
    <s v="Long Range"/>
    <n v="32"/>
    <x v="0"/>
    <s v="Gomez-Barajas Tesla"/>
  </r>
  <r>
    <s v="S0944"/>
    <s v="CUST0944"/>
    <x v="336"/>
    <x v="3"/>
    <s v="North America"/>
    <x v="3"/>
    <s v="Vancouver"/>
    <n v="2"/>
    <n v="90000"/>
    <x v="0"/>
    <s v="Standard Range"/>
    <n v="15"/>
    <x v="0"/>
    <s v="Gibson, Buchanan and Jackson Tesla"/>
  </r>
  <r>
    <s v="S0945"/>
    <s v="CUST0945"/>
    <x v="213"/>
    <x v="1"/>
    <s v="Asia"/>
    <x v="6"/>
    <s v="London"/>
    <n v="4"/>
    <n v="432000"/>
    <x v="0"/>
    <s v="Long Range"/>
    <n v="20"/>
    <x v="1"/>
    <s v="Caldwell, Holmes and Bailey Tesla"/>
  </r>
  <r>
    <s v="S0946"/>
    <s v="CUST0946"/>
    <x v="240"/>
    <x v="3"/>
    <s v="Asia"/>
    <x v="9"/>
    <s v="Nagoya"/>
    <n v="3"/>
    <n v="162000"/>
    <x v="1"/>
    <s v="Long Range"/>
    <n v="54"/>
    <x v="0"/>
    <s v="Peters Ltd Tesla"/>
  </r>
  <r>
    <s v="S0947"/>
    <s v="CUST0947"/>
    <x v="417"/>
    <x v="1"/>
    <s v="North America"/>
    <x v="6"/>
    <s v="Manchester"/>
    <n v="4"/>
    <n v="432000"/>
    <x v="1"/>
    <s v="Long Range"/>
    <n v="46"/>
    <x v="1"/>
    <s v="Stewart, Cox and Kelly Tesla"/>
  </r>
  <r>
    <s v="S0948"/>
    <s v="CUST0948"/>
    <x v="321"/>
    <x v="2"/>
    <s v="North America"/>
    <x v="6"/>
    <s v="Manchester"/>
    <n v="5"/>
    <n v="360000"/>
    <x v="3"/>
    <s v="Long Range"/>
    <n v="44"/>
    <x v="1"/>
    <s v="Carter-Davis Tesla"/>
  </r>
  <r>
    <s v="S0949"/>
    <s v="CUST0949"/>
    <x v="546"/>
    <x v="3"/>
    <s v="North America"/>
    <x v="9"/>
    <s v="Sapporo"/>
    <n v="3"/>
    <n v="189000"/>
    <x v="0"/>
    <s v="Performance"/>
    <n v="56"/>
    <x v="0"/>
    <s v="Day and Sons Tesla"/>
  </r>
  <r>
    <s v="S0950"/>
    <s v="CUST0950"/>
    <x v="312"/>
    <x v="0"/>
    <s v="North America"/>
    <x v="2"/>
    <s v="Munich"/>
    <n v="4"/>
    <n v="560000"/>
    <x v="2"/>
    <s v="Performance"/>
    <n v="55"/>
    <x v="1"/>
    <s v="Fields Inc Tesla"/>
  </r>
  <r>
    <s v="S0951"/>
    <s v="CUST0951"/>
    <x v="547"/>
    <x v="1"/>
    <s v="Asia"/>
    <x v="0"/>
    <s v="Bangalore"/>
    <n v="5"/>
    <n v="630000"/>
    <x v="2"/>
    <s v="Performance"/>
    <n v="44"/>
    <x v="1"/>
    <s v="Smith, Bender and Garcia Tesla"/>
  </r>
  <r>
    <s v="S0952"/>
    <s v="CUST0952"/>
    <x v="510"/>
    <x v="1"/>
    <s v="Asia"/>
    <x v="8"/>
    <s v="Chengdu"/>
    <n v="5"/>
    <n v="630000"/>
    <x v="0"/>
    <s v="Performance"/>
    <n v="21"/>
    <x v="1"/>
    <s v="Perez Ltd Tesla"/>
  </r>
  <r>
    <s v="S0953"/>
    <s v="CUST0953"/>
    <x v="178"/>
    <x v="0"/>
    <s v="Europe"/>
    <x v="9"/>
    <s v="Osaka"/>
    <n v="1"/>
    <n v="140000"/>
    <x v="1"/>
    <s v="Performance"/>
    <n v="56"/>
    <x v="0"/>
    <s v="Decker-Baker Tesla"/>
  </r>
  <r>
    <s v="S0954"/>
    <s v="CUST0954"/>
    <x v="548"/>
    <x v="1"/>
    <s v="Europe"/>
    <x v="1"/>
    <s v="Marseille"/>
    <n v="4"/>
    <n v="360000"/>
    <x v="4"/>
    <s v="Standard Range"/>
    <n v="12"/>
    <x v="0"/>
    <s v="Gamble-Burns Tesla"/>
  </r>
  <r>
    <s v="S0955"/>
    <s v="CUST0955"/>
    <x v="95"/>
    <x v="3"/>
    <s v="Europe"/>
    <x v="1"/>
    <s v="Lyon"/>
    <n v="2"/>
    <n v="108000"/>
    <x v="1"/>
    <s v="Long Range"/>
    <n v="14"/>
    <x v="0"/>
    <s v="Myers Inc Tesla"/>
  </r>
  <r>
    <s v="S0956"/>
    <s v="CUST0956"/>
    <x v="88"/>
    <x v="0"/>
    <s v="Europe"/>
    <x v="9"/>
    <s v="Nagoya"/>
    <n v="3"/>
    <n v="420000"/>
    <x v="2"/>
    <s v="Performance"/>
    <n v="46"/>
    <x v="0"/>
    <s v="Lopez, Conley and Mccall Tesla"/>
  </r>
  <r>
    <s v="S0957"/>
    <s v="CUST0957"/>
    <x v="357"/>
    <x v="0"/>
    <s v="North America"/>
    <x v="8"/>
    <s v="Chengdu"/>
    <n v="2"/>
    <n v="240000"/>
    <x v="2"/>
    <s v="Long Range"/>
    <n v="27"/>
    <x v="0"/>
    <s v="Hall and Sons Tesla"/>
  </r>
  <r>
    <s v="S0958"/>
    <s v="CUST0958"/>
    <x v="533"/>
    <x v="1"/>
    <s v="North America"/>
    <x v="8"/>
    <s v="Guangzhou"/>
    <n v="1"/>
    <n v="90000"/>
    <x v="4"/>
    <s v="Standard Range"/>
    <n v="46"/>
    <x v="1"/>
    <s v="Ward-Parker Tesla"/>
  </r>
  <r>
    <s v="S0959"/>
    <s v="CUST0959"/>
    <x v="549"/>
    <x v="0"/>
    <s v="North America"/>
    <x v="7"/>
    <s v="Sydney"/>
    <n v="4"/>
    <n v="400000"/>
    <x v="1"/>
    <s v="Standard Range"/>
    <n v="38"/>
    <x v="0"/>
    <s v="Mendez Inc Tesla"/>
  </r>
  <r>
    <s v="S0960"/>
    <s v="CUST0960"/>
    <x v="94"/>
    <x v="1"/>
    <s v="Europe"/>
    <x v="3"/>
    <s v="Vancouver"/>
    <n v="5"/>
    <n v="540000"/>
    <x v="2"/>
    <s v="Long Range"/>
    <n v="37"/>
    <x v="0"/>
    <s v="Ward Group Tesla"/>
  </r>
  <r>
    <s v="S0961"/>
    <s v="CUST0961"/>
    <x v="82"/>
    <x v="0"/>
    <s v="Europe"/>
    <x v="6"/>
    <s v="Leeds"/>
    <n v="5"/>
    <n v="500000"/>
    <x v="0"/>
    <s v="Standard Range"/>
    <n v="27"/>
    <x v="0"/>
    <s v="Wallace, Jordan and Morris Tesla"/>
  </r>
  <r>
    <s v="S0962"/>
    <s v="CUST0962"/>
    <x v="550"/>
    <x v="1"/>
    <s v="Asia"/>
    <x v="1"/>
    <s v="Nice"/>
    <n v="4"/>
    <n v="504000"/>
    <x v="3"/>
    <s v="Performance"/>
    <n v="17"/>
    <x v="1"/>
    <s v="Baker-Lewis Tesla"/>
  </r>
  <r>
    <s v="S0963"/>
    <s v="CUST0963"/>
    <x v="154"/>
    <x v="1"/>
    <s v="Europe"/>
    <x v="9"/>
    <s v="Tokyo"/>
    <n v="5"/>
    <n v="450000"/>
    <x v="2"/>
    <s v="Standard Range"/>
    <n v="43"/>
    <x v="0"/>
    <s v="Weber Group Tesla"/>
  </r>
  <r>
    <s v="S0964"/>
    <s v="CUST0964"/>
    <x v="233"/>
    <x v="0"/>
    <s v="Asia"/>
    <x v="1"/>
    <s v="Marseille"/>
    <n v="3"/>
    <n v="300000"/>
    <x v="4"/>
    <s v="Standard Range"/>
    <n v="42"/>
    <x v="1"/>
    <s v="Garcia PLC Tesla"/>
  </r>
  <r>
    <s v="S0965"/>
    <s v="CUST0965"/>
    <x v="149"/>
    <x v="2"/>
    <s v="North America"/>
    <x v="2"/>
    <s v="Hamburg"/>
    <n v="5"/>
    <n v="300000"/>
    <x v="1"/>
    <s v="Standard Range"/>
    <n v="33"/>
    <x v="1"/>
    <s v="Rogers Ltd Tesla"/>
  </r>
  <r>
    <s v="S0966"/>
    <s v="CUST0966"/>
    <x v="16"/>
    <x v="0"/>
    <s v="North America"/>
    <x v="1"/>
    <s v="Nice"/>
    <n v="1"/>
    <n v="140000"/>
    <x v="2"/>
    <s v="Performance"/>
    <n v="37"/>
    <x v="1"/>
    <s v="Carpenter Inc Tesla"/>
  </r>
  <r>
    <s v="S0967"/>
    <s v="CUST0967"/>
    <x v="408"/>
    <x v="0"/>
    <s v="North America"/>
    <x v="6"/>
    <s v="Birmingham"/>
    <n v="5"/>
    <n v="700000"/>
    <x v="2"/>
    <s v="Performance"/>
    <n v="41"/>
    <x v="0"/>
    <s v="Dean, James and Miller Tesla"/>
  </r>
  <r>
    <s v="S0968"/>
    <s v="CUST0968"/>
    <x v="551"/>
    <x v="2"/>
    <s v="Asia"/>
    <x v="4"/>
    <s v="Rio de Janeiro"/>
    <n v="2"/>
    <n v="168000"/>
    <x v="2"/>
    <s v="Performance"/>
    <n v="7"/>
    <x v="0"/>
    <s v="Curtis, Dunn and Atkinson Tesla"/>
  </r>
  <r>
    <s v="S0969"/>
    <s v="CUST0969"/>
    <x v="552"/>
    <x v="0"/>
    <s v="Europe"/>
    <x v="6"/>
    <s v="Leeds"/>
    <n v="2"/>
    <n v="200000"/>
    <x v="2"/>
    <s v="Standard Range"/>
    <n v="49"/>
    <x v="1"/>
    <s v="Rodriguez, Carrillo and Gray Tesla"/>
  </r>
  <r>
    <s v="S0970"/>
    <s v="CUST0970"/>
    <x v="553"/>
    <x v="2"/>
    <s v="Asia"/>
    <x v="1"/>
    <s v="Marseille"/>
    <n v="2"/>
    <n v="120000"/>
    <x v="1"/>
    <s v="Standard Range"/>
    <n v="7"/>
    <x v="0"/>
    <s v="Johnston-Wolfe Tesla"/>
  </r>
  <r>
    <s v="S0971"/>
    <s v="CUST0971"/>
    <x v="370"/>
    <x v="1"/>
    <s v="Asia"/>
    <x v="9"/>
    <s v="Tokyo"/>
    <n v="5"/>
    <n v="450000"/>
    <x v="4"/>
    <s v="Standard Range"/>
    <n v="11"/>
    <x v="1"/>
    <s v="Gordon, Tucker and Forbes Tesla"/>
  </r>
  <r>
    <s v="S0972"/>
    <s v="CUST0972"/>
    <x v="299"/>
    <x v="3"/>
    <s v="North America"/>
    <x v="3"/>
    <s v="Calgary"/>
    <n v="5"/>
    <n v="225000"/>
    <x v="2"/>
    <s v="Standard Range"/>
    <n v="60"/>
    <x v="0"/>
    <s v="Stein, Walker and Edwards Tesla"/>
  </r>
  <r>
    <s v="S0973"/>
    <s v="CUST0973"/>
    <x v="145"/>
    <x v="2"/>
    <s v="North America"/>
    <x v="1"/>
    <s v="Toulouse"/>
    <n v="3"/>
    <n v="252000"/>
    <x v="2"/>
    <s v="Performance"/>
    <n v="55"/>
    <x v="0"/>
    <s v="Smith, Hensley and Horton Tesla"/>
  </r>
  <r>
    <s v="S0974"/>
    <s v="CUST0974"/>
    <x v="285"/>
    <x v="1"/>
    <s v="Asia"/>
    <x v="0"/>
    <s v="Hyderabad"/>
    <n v="4"/>
    <n v="504000"/>
    <x v="4"/>
    <s v="Performance"/>
    <n v="50"/>
    <x v="1"/>
    <s v="Duffy Inc Tesla"/>
  </r>
  <r>
    <s v="S0975"/>
    <s v="CUST0975"/>
    <x v="154"/>
    <x v="0"/>
    <s v="Asia"/>
    <x v="4"/>
    <s v="BrasÃ­lia"/>
    <n v="4"/>
    <n v="400000"/>
    <x v="1"/>
    <s v="Standard Range"/>
    <n v="50"/>
    <x v="1"/>
    <s v="Beltran, Robinson and Williams Tesla"/>
  </r>
  <r>
    <s v="S0976"/>
    <s v="CUST0976"/>
    <x v="452"/>
    <x v="3"/>
    <s v="Asia"/>
    <x v="1"/>
    <s v="Marseille"/>
    <n v="1"/>
    <n v="54000"/>
    <x v="0"/>
    <s v="Long Range"/>
    <n v="47"/>
    <x v="1"/>
    <s v="Cruz, Fernandez and Watson Tesla"/>
  </r>
  <r>
    <s v="S0977"/>
    <s v="CUST0977"/>
    <x v="443"/>
    <x v="2"/>
    <s v="North America"/>
    <x v="6"/>
    <s v="London"/>
    <n v="5"/>
    <n v="300000"/>
    <x v="4"/>
    <s v="Standard Range"/>
    <n v="6"/>
    <x v="0"/>
    <s v="Brown-Smith Tesla"/>
  </r>
  <r>
    <s v="S0978"/>
    <s v="CUST0978"/>
    <x v="408"/>
    <x v="2"/>
    <s v="North America"/>
    <x v="2"/>
    <s v="Munich"/>
    <n v="5"/>
    <n v="300000"/>
    <x v="0"/>
    <s v="Standard Range"/>
    <n v="35"/>
    <x v="0"/>
    <s v="Mayer, White and Jones Tesla"/>
  </r>
  <r>
    <s v="S0979"/>
    <s v="CUST0979"/>
    <x v="529"/>
    <x v="0"/>
    <s v="Europe"/>
    <x v="2"/>
    <s v="Cologne"/>
    <n v="5"/>
    <n v="600000"/>
    <x v="2"/>
    <s v="Long Range"/>
    <n v="18"/>
    <x v="0"/>
    <s v="Hill Ltd Tesla"/>
  </r>
  <r>
    <s v="S0980"/>
    <s v="CUST0980"/>
    <x v="400"/>
    <x v="3"/>
    <s v="Asia"/>
    <x v="4"/>
    <s v="Salvador"/>
    <n v="1"/>
    <n v="54000"/>
    <x v="2"/>
    <s v="Long Range"/>
    <n v="49"/>
    <x v="1"/>
    <s v="Preston, Payne and Stephens Tesla"/>
  </r>
  <r>
    <s v="S0981"/>
    <s v="CUST0981"/>
    <x v="554"/>
    <x v="1"/>
    <s v="Europe"/>
    <x v="2"/>
    <s v="Hamburg"/>
    <n v="2"/>
    <n v="216000"/>
    <x v="4"/>
    <s v="Long Range"/>
    <n v="32"/>
    <x v="1"/>
    <s v="Mitchell PLC Tesla"/>
  </r>
  <r>
    <s v="S0982"/>
    <s v="CUST0982"/>
    <x v="376"/>
    <x v="0"/>
    <s v="North America"/>
    <x v="6"/>
    <s v="Birmingham"/>
    <n v="4"/>
    <n v="400000"/>
    <x v="4"/>
    <s v="Standard Range"/>
    <n v="19"/>
    <x v="0"/>
    <s v="Gates LLC Tesla"/>
  </r>
  <r>
    <s v="S0983"/>
    <s v="CUST0983"/>
    <x v="555"/>
    <x v="0"/>
    <s v="Asia"/>
    <x v="0"/>
    <s v="Chennai"/>
    <n v="1"/>
    <n v="100000"/>
    <x v="1"/>
    <s v="Standard Range"/>
    <n v="25"/>
    <x v="0"/>
    <s v="Smith, Dixon and King Tesla"/>
  </r>
  <r>
    <s v="S0984"/>
    <s v="CUST0984"/>
    <x v="367"/>
    <x v="1"/>
    <s v="North America"/>
    <x v="5"/>
    <s v="Houston"/>
    <n v="4"/>
    <n v="360000"/>
    <x v="2"/>
    <s v="Standard Range"/>
    <n v="56"/>
    <x v="1"/>
    <s v="Reynolds PLC Tesla"/>
  </r>
  <r>
    <s v="S0985"/>
    <s v="CUST0985"/>
    <x v="556"/>
    <x v="0"/>
    <s v="Europe"/>
    <x v="0"/>
    <s v="Hyderabad"/>
    <n v="5"/>
    <n v="500000"/>
    <x v="4"/>
    <s v="Standard Range"/>
    <n v="60"/>
    <x v="0"/>
    <s v="Torres, Keller and Pierce Tesla"/>
  </r>
  <r>
    <s v="S0986"/>
    <s v="CUST0986"/>
    <x v="557"/>
    <x v="3"/>
    <s v="Asia"/>
    <x v="9"/>
    <s v="Tokyo"/>
    <n v="1"/>
    <n v="45000"/>
    <x v="0"/>
    <s v="Standard Range"/>
    <n v="22"/>
    <x v="1"/>
    <s v="Joyce, Murphy and Hamilton Tesla"/>
  </r>
  <r>
    <s v="S0987"/>
    <s v="CUST0987"/>
    <x v="521"/>
    <x v="0"/>
    <s v="North America"/>
    <x v="2"/>
    <s v="Hamburg"/>
    <n v="2"/>
    <n v="240000"/>
    <x v="4"/>
    <s v="Long Range"/>
    <n v="28"/>
    <x v="0"/>
    <s v="Harris-Davila Tesla"/>
  </r>
  <r>
    <s v="S0988"/>
    <s v="CUST0988"/>
    <x v="392"/>
    <x v="0"/>
    <s v="Europe"/>
    <x v="2"/>
    <s v="Hamburg"/>
    <n v="4"/>
    <n v="480000"/>
    <x v="4"/>
    <s v="Long Range"/>
    <n v="38"/>
    <x v="1"/>
    <s v="Hoffman-Kelley Tesla"/>
  </r>
  <r>
    <s v="S0989"/>
    <s v="CUST0989"/>
    <x v="558"/>
    <x v="2"/>
    <s v="North America"/>
    <x v="0"/>
    <s v="Hyderabad"/>
    <n v="4"/>
    <n v="288000"/>
    <x v="2"/>
    <s v="Long Range"/>
    <n v="9"/>
    <x v="1"/>
    <s v="Flores-Reeves Tesla"/>
  </r>
  <r>
    <s v="S0990"/>
    <s v="CUST0990"/>
    <x v="559"/>
    <x v="0"/>
    <s v="North America"/>
    <x v="4"/>
    <s v="Rio de Janeiro"/>
    <n v="4"/>
    <n v="400000"/>
    <x v="3"/>
    <s v="Standard Range"/>
    <n v="58"/>
    <x v="0"/>
    <s v="Williams and Sons Tesla"/>
  </r>
  <r>
    <s v="S0991"/>
    <s v="CUST0991"/>
    <x v="560"/>
    <x v="0"/>
    <s v="Europe"/>
    <x v="2"/>
    <s v="Berlin"/>
    <n v="3"/>
    <n v="420000"/>
    <x v="2"/>
    <s v="Performance"/>
    <n v="57"/>
    <x v="1"/>
    <s v="Soto PLC Tesla"/>
  </r>
  <r>
    <s v="S0992"/>
    <s v="CUST0992"/>
    <x v="534"/>
    <x v="0"/>
    <s v="Europe"/>
    <x v="1"/>
    <s v="Marseille"/>
    <n v="5"/>
    <n v="700000"/>
    <x v="1"/>
    <s v="Performance"/>
    <n v="37"/>
    <x v="1"/>
    <s v="Randall LLC Tesla"/>
  </r>
  <r>
    <s v="S0993"/>
    <s v="CUST0993"/>
    <x v="488"/>
    <x v="1"/>
    <s v="Europe"/>
    <x v="4"/>
    <s v="Rio de Janeiro"/>
    <n v="3"/>
    <n v="324000"/>
    <x v="2"/>
    <s v="Long Range"/>
    <n v="52"/>
    <x v="1"/>
    <s v="Rodriguez-Mason Tesla"/>
  </r>
  <r>
    <s v="S0994"/>
    <s v="CUST0994"/>
    <x v="561"/>
    <x v="2"/>
    <s v="North America"/>
    <x v="1"/>
    <s v="Nice"/>
    <n v="1"/>
    <n v="60000"/>
    <x v="3"/>
    <s v="Standard Range"/>
    <n v="50"/>
    <x v="1"/>
    <s v="Williams, Jackson and Coleman Tesla"/>
  </r>
  <r>
    <s v="S0995"/>
    <s v="CUST0995"/>
    <x v="82"/>
    <x v="2"/>
    <s v="Europe"/>
    <x v="8"/>
    <s v="Shanghai"/>
    <n v="1"/>
    <n v="72000"/>
    <x v="3"/>
    <s v="Long Range"/>
    <n v="8"/>
    <x v="1"/>
    <s v="Obrien-Bennett Tesla"/>
  </r>
  <r>
    <s v="S0996"/>
    <s v="CUST0996"/>
    <x v="234"/>
    <x v="2"/>
    <s v="North America"/>
    <x v="1"/>
    <s v="Marseille"/>
    <n v="2"/>
    <n v="120000"/>
    <x v="3"/>
    <s v="Standard Range"/>
    <n v="40"/>
    <x v="0"/>
    <s v="Perez-Sampson Tesla"/>
  </r>
  <r>
    <s v="S0997"/>
    <s v="CUST0997"/>
    <x v="544"/>
    <x v="3"/>
    <s v="Europe"/>
    <x v="1"/>
    <s v="Lyon"/>
    <n v="1"/>
    <n v="63000"/>
    <x v="4"/>
    <s v="Performance"/>
    <n v="18"/>
    <x v="1"/>
    <s v="Rivera, Jenkins and Green Tesla"/>
  </r>
  <r>
    <s v="S0998"/>
    <s v="CUST0998"/>
    <x v="397"/>
    <x v="1"/>
    <s v="Europe"/>
    <x v="7"/>
    <s v="Brisbane"/>
    <n v="4"/>
    <n v="360000"/>
    <x v="2"/>
    <s v="Standard Range"/>
    <n v="30"/>
    <x v="0"/>
    <s v="Herrera-Wilson Tesla"/>
  </r>
  <r>
    <s v="S0999"/>
    <s v="CUST0999"/>
    <x v="562"/>
    <x v="2"/>
    <s v="North America"/>
    <x v="1"/>
    <s v="Marseille"/>
    <n v="4"/>
    <n v="336000"/>
    <x v="0"/>
    <s v="Performance"/>
    <n v="33"/>
    <x v="1"/>
    <s v="Washington-Villa Tesla"/>
  </r>
  <r>
    <s v="S1000"/>
    <s v="CUST1000"/>
    <x v="269"/>
    <x v="1"/>
    <s v="Asia"/>
    <x v="5"/>
    <s v="Los Angeles"/>
    <n v="5"/>
    <n v="630000"/>
    <x v="0"/>
    <s v="Performance"/>
    <n v="27"/>
    <x v="0"/>
    <s v="Thomas-Bowers Tesl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2CDAD4-EB33-4F10-9CA1-A98F6C813B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7">
    <pivotField showAll="0"/>
    <pivotField showAll="0"/>
    <pivotField numFmtId="14" showAll="0">
      <items count="564">
        <item x="161"/>
        <item x="156"/>
        <item x="379"/>
        <item x="143"/>
        <item x="16"/>
        <item x="201"/>
        <item x="40"/>
        <item x="64"/>
        <item x="361"/>
        <item x="222"/>
        <item x="294"/>
        <item x="366"/>
        <item x="213"/>
        <item x="426"/>
        <item x="152"/>
        <item x="235"/>
        <item x="514"/>
        <item x="198"/>
        <item x="194"/>
        <item x="56"/>
        <item x="292"/>
        <item x="164"/>
        <item x="120"/>
        <item x="69"/>
        <item x="425"/>
        <item x="116"/>
        <item x="414"/>
        <item x="505"/>
        <item x="92"/>
        <item x="443"/>
        <item x="185"/>
        <item x="53"/>
        <item x="187"/>
        <item x="62"/>
        <item x="273"/>
        <item x="417"/>
        <item x="42"/>
        <item x="435"/>
        <item x="102"/>
        <item x="395"/>
        <item x="429"/>
        <item x="252"/>
        <item x="516"/>
        <item x="256"/>
        <item x="322"/>
        <item x="468"/>
        <item x="349"/>
        <item x="551"/>
        <item x="228"/>
        <item x="182"/>
        <item x="50"/>
        <item x="348"/>
        <item x="399"/>
        <item x="193"/>
        <item x="386"/>
        <item x="229"/>
        <item x="166"/>
        <item x="236"/>
        <item x="436"/>
        <item x="553"/>
        <item x="364"/>
        <item x="261"/>
        <item x="465"/>
        <item x="500"/>
        <item x="138"/>
        <item x="151"/>
        <item x="506"/>
        <item x="297"/>
        <item x="493"/>
        <item x="214"/>
        <item x="554"/>
        <item x="323"/>
        <item x="45"/>
        <item x="380"/>
        <item x="108"/>
        <item x="216"/>
        <item x="79"/>
        <item x="356"/>
        <item x="114"/>
        <item x="76"/>
        <item x="520"/>
        <item x="507"/>
        <item x="406"/>
        <item x="324"/>
        <item x="318"/>
        <item x="430"/>
        <item x="46"/>
        <item x="327"/>
        <item x="478"/>
        <item x="463"/>
        <item x="125"/>
        <item x="168"/>
        <item x="451"/>
        <item x="428"/>
        <item x="519"/>
        <item x="91"/>
        <item x="169"/>
        <item x="113"/>
        <item x="188"/>
        <item x="104"/>
        <item x="491"/>
        <item x="218"/>
        <item x="259"/>
        <item x="354"/>
        <item x="352"/>
        <item x="513"/>
        <item x="490"/>
        <item x="122"/>
        <item x="397"/>
        <item x="17"/>
        <item x="15"/>
        <item x="483"/>
        <item x="488"/>
        <item x="9"/>
        <item x="165"/>
        <item x="61"/>
        <item x="509"/>
        <item x="347"/>
        <item x="420"/>
        <item x="503"/>
        <item x="160"/>
        <item x="546"/>
        <item x="523"/>
        <item x="341"/>
        <item x="371"/>
        <item x="296"/>
        <item x="20"/>
        <item x="480"/>
        <item x="331"/>
        <item x="0"/>
        <item x="333"/>
        <item x="401"/>
        <item x="439"/>
        <item x="376"/>
        <item x="54"/>
        <item x="530"/>
        <item x="94"/>
        <item x="445"/>
        <item x="460"/>
        <item x="484"/>
        <item x="309"/>
        <item x="246"/>
        <item x="286"/>
        <item x="55"/>
        <item x="255"/>
        <item x="377"/>
        <item x="106"/>
        <item x="537"/>
        <item x="82"/>
        <item x="89"/>
        <item x="547"/>
        <item x="408"/>
        <item x="98"/>
        <item x="319"/>
        <item x="544"/>
        <item x="312"/>
        <item x="304"/>
        <item x="220"/>
        <item x="28"/>
        <item x="41"/>
        <item x="83"/>
        <item x="233"/>
        <item x="495"/>
        <item x="272"/>
        <item x="317"/>
        <item x="153"/>
        <item x="528"/>
        <item x="181"/>
        <item x="24"/>
        <item x="482"/>
        <item x="25"/>
        <item x="173"/>
        <item x="521"/>
        <item x="299"/>
        <item x="210"/>
        <item x="258"/>
        <item x="407"/>
        <item x="346"/>
        <item x="400"/>
        <item x="499"/>
        <item x="552"/>
        <item x="71"/>
        <item x="78"/>
        <item x="157"/>
        <item x="204"/>
        <item x="367"/>
        <item x="249"/>
        <item x="305"/>
        <item x="87"/>
        <item x="248"/>
        <item x="31"/>
        <item x="21"/>
        <item x="496"/>
        <item x="217"/>
        <item x="432"/>
        <item x="131"/>
        <item x="190"/>
        <item x="239"/>
        <item x="487"/>
        <item x="434"/>
        <item x="375"/>
        <item x="80"/>
        <item x="454"/>
        <item x="70"/>
        <item x="200"/>
        <item x="73"/>
        <item x="387"/>
        <item x="280"/>
        <item x="57"/>
        <item x="223"/>
        <item x="172"/>
        <item x="472"/>
        <item x="268"/>
        <item x="459"/>
        <item x="559"/>
        <item x="4"/>
        <item x="326"/>
        <item x="284"/>
        <item x="290"/>
        <item x="26"/>
        <item x="129"/>
        <item x="148"/>
        <item x="444"/>
        <item x="39"/>
        <item x="381"/>
        <item x="285"/>
        <item x="321"/>
        <item x="481"/>
        <item x="281"/>
        <item x="196"/>
        <item x="139"/>
        <item x="492"/>
        <item x="372"/>
        <item x="316"/>
        <item x="358"/>
        <item x="536"/>
        <item x="360"/>
        <item x="477"/>
        <item x="13"/>
        <item x="328"/>
        <item x="337"/>
        <item x="175"/>
        <item x="265"/>
        <item x="85"/>
        <item x="48"/>
        <item x="242"/>
        <item x="357"/>
        <item x="419"/>
        <item x="314"/>
        <item x="412"/>
        <item x="105"/>
        <item x="558"/>
        <item x="215"/>
        <item x="476"/>
        <item x="440"/>
        <item x="1"/>
        <item x="65"/>
        <item x="247"/>
        <item x="52"/>
        <item x="240"/>
        <item x="232"/>
        <item x="471"/>
        <item x="359"/>
        <item x="441"/>
        <item x="107"/>
        <item x="450"/>
        <item x="23"/>
        <item x="209"/>
        <item x="474"/>
        <item x="533"/>
        <item x="542"/>
        <item x="137"/>
        <item x="315"/>
        <item x="510"/>
        <item x="133"/>
        <item x="219"/>
        <item x="202"/>
        <item x="293"/>
        <item x="171"/>
        <item x="207"/>
        <item x="33"/>
        <item x="167"/>
        <item x="244"/>
        <item x="180"/>
        <item x="368"/>
        <item x="75"/>
        <item x="306"/>
        <item x="462"/>
        <item x="557"/>
        <item x="184"/>
        <item x="456"/>
        <item x="123"/>
        <item x="457"/>
        <item x="467"/>
        <item x="34"/>
        <item x="538"/>
        <item x="374"/>
        <item x="238"/>
        <item x="257"/>
        <item x="344"/>
        <item x="415"/>
        <item x="383"/>
        <item x="534"/>
        <item x="84"/>
        <item x="127"/>
        <item x="135"/>
        <item x="195"/>
        <item x="413"/>
        <item x="403"/>
        <item x="385"/>
        <item x="393"/>
        <item x="29"/>
        <item x="453"/>
        <item x="378"/>
        <item x="66"/>
        <item x="511"/>
        <item x="183"/>
        <item x="540"/>
        <item x="253"/>
        <item x="283"/>
        <item x="562"/>
        <item x="485"/>
        <item x="225"/>
        <item x="342"/>
        <item x="269"/>
        <item x="475"/>
        <item x="27"/>
        <item x="526"/>
        <item x="545"/>
        <item x="140"/>
        <item x="561"/>
        <item x="353"/>
        <item x="466"/>
        <item x="449"/>
        <item x="68"/>
        <item x="438"/>
        <item x="278"/>
        <item x="109"/>
        <item x="144"/>
        <item x="189"/>
        <item x="494"/>
        <item x="508"/>
        <item x="150"/>
        <item x="96"/>
        <item x="163"/>
        <item x="275"/>
        <item x="95"/>
        <item x="524"/>
        <item x="479"/>
        <item x="404"/>
        <item x="230"/>
        <item x="47"/>
        <item x="531"/>
        <item x="320"/>
        <item x="32"/>
        <item x="365"/>
        <item x="470"/>
        <item x="243"/>
        <item x="254"/>
        <item x="442"/>
        <item x="142"/>
        <item x="119"/>
        <item x="178"/>
        <item x="308"/>
        <item x="263"/>
        <item x="90"/>
        <item x="373"/>
        <item x="124"/>
        <item x="515"/>
        <item x="409"/>
        <item x="49"/>
        <item x="205"/>
        <item x="5"/>
        <item x="203"/>
        <item x="199"/>
        <item x="206"/>
        <item x="43"/>
        <item x="556"/>
        <item x="192"/>
        <item x="330"/>
        <item x="338"/>
        <item x="336"/>
        <item x="110"/>
        <item x="390"/>
        <item x="455"/>
        <item x="241"/>
        <item x="147"/>
        <item x="117"/>
        <item x="433"/>
        <item x="548"/>
        <item x="271"/>
        <item x="59"/>
        <item x="394"/>
        <item x="369"/>
        <item x="498"/>
        <item x="8"/>
        <item x="384"/>
        <item x="86"/>
        <item x="447"/>
        <item x="221"/>
        <item x="427"/>
        <item x="58"/>
        <item x="461"/>
        <item x="103"/>
        <item x="276"/>
        <item x="121"/>
        <item x="301"/>
        <item x="100"/>
        <item x="130"/>
        <item x="529"/>
        <item x="311"/>
        <item x="355"/>
        <item x="19"/>
        <item x="270"/>
        <item x="277"/>
        <item x="111"/>
        <item x="197"/>
        <item x="264"/>
        <item x="517"/>
        <item x="335"/>
        <item x="525"/>
        <item x="72"/>
        <item x="431"/>
        <item x="262"/>
        <item x="74"/>
        <item x="469"/>
        <item x="162"/>
        <item x="12"/>
        <item x="208"/>
        <item x="388"/>
        <item x="266"/>
        <item x="351"/>
        <item x="391"/>
        <item x="392"/>
        <item x="501"/>
        <item x="177"/>
        <item x="313"/>
        <item x="424"/>
        <item x="512"/>
        <item x="36"/>
        <item x="132"/>
        <item x="303"/>
        <item x="234"/>
        <item x="211"/>
        <item x="170"/>
        <item x="396"/>
        <item x="231"/>
        <item x="362"/>
        <item x="543"/>
        <item x="363"/>
        <item x="226"/>
        <item x="332"/>
        <item x="560"/>
        <item x="287"/>
        <item x="60"/>
        <item x="422"/>
        <item x="145"/>
        <item x="522"/>
        <item x="298"/>
        <item x="421"/>
        <item x="37"/>
        <item x="251"/>
        <item x="539"/>
        <item x="486"/>
        <item x="7"/>
        <item x="279"/>
        <item x="535"/>
        <item x="291"/>
        <item x="452"/>
        <item x="307"/>
        <item x="250"/>
        <item x="112"/>
        <item x="416"/>
        <item x="224"/>
        <item x="126"/>
        <item x="146"/>
        <item x="502"/>
        <item x="464"/>
        <item x="38"/>
        <item x="288"/>
        <item x="325"/>
        <item x="63"/>
        <item x="18"/>
        <item x="329"/>
        <item x="149"/>
        <item x="176"/>
        <item x="179"/>
        <item x="402"/>
        <item x="35"/>
        <item x="11"/>
        <item x="10"/>
        <item x="282"/>
        <item x="227"/>
        <item x="6"/>
        <item x="22"/>
        <item x="101"/>
        <item x="370"/>
        <item x="128"/>
        <item x="81"/>
        <item x="382"/>
        <item x="136"/>
        <item x="350"/>
        <item x="44"/>
        <item x="2"/>
        <item x="93"/>
        <item x="295"/>
        <item x="245"/>
        <item x="88"/>
        <item x="134"/>
        <item x="267"/>
        <item x="527"/>
        <item x="334"/>
        <item x="155"/>
        <item x="97"/>
        <item x="154"/>
        <item x="398"/>
        <item x="14"/>
        <item x="158"/>
        <item x="446"/>
        <item x="458"/>
        <item x="410"/>
        <item x="504"/>
        <item x="555"/>
        <item x="310"/>
        <item x="118"/>
        <item x="389"/>
        <item x="423"/>
        <item x="550"/>
        <item x="260"/>
        <item x="411"/>
        <item x="237"/>
        <item x="67"/>
        <item x="418"/>
        <item x="51"/>
        <item x="518"/>
        <item x="159"/>
        <item x="186"/>
        <item x="3"/>
        <item x="191"/>
        <item x="405"/>
        <item x="300"/>
        <item x="437"/>
        <item x="77"/>
        <item x="448"/>
        <item x="489"/>
        <item x="274"/>
        <item x="141"/>
        <item x="473"/>
        <item x="115"/>
        <item x="497"/>
        <item x="30"/>
        <item x="289"/>
        <item x="174"/>
        <item x="212"/>
        <item x="549"/>
        <item x="343"/>
        <item x="339"/>
        <item x="340"/>
        <item x="345"/>
        <item x="99"/>
        <item x="541"/>
        <item x="302"/>
        <item x="532"/>
        <item t="default"/>
      </items>
    </pivotField>
    <pivotField showAll="0">
      <items count="5">
        <item x="2"/>
        <item x="3"/>
        <item x="1"/>
        <item x="0"/>
        <item t="default"/>
      </items>
    </pivotField>
    <pivotField showAll="0"/>
    <pivotField showAll="0">
      <items count="11">
        <item h="1" x="7"/>
        <item h="1" x="4"/>
        <item x="3"/>
        <item x="8"/>
        <item x="1"/>
        <item x="2"/>
        <item x="0"/>
        <item h="1" x="9"/>
        <item h="1" x="6"/>
        <item h="1" x="5"/>
        <item t="default"/>
      </items>
    </pivotField>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_Amount_USD" fld="8" baseField="0" baseItem="0" numFmtId="164"/>
  </dataFields>
  <formats count="1">
    <format dxfId="8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BDD8C3-2FB5-482E-B593-D24D6DC8BC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7">
    <pivotField showAll="0"/>
    <pivotField showAll="0"/>
    <pivotField numFmtId="14" showAll="0">
      <items count="564">
        <item x="161"/>
        <item x="156"/>
        <item x="379"/>
        <item x="143"/>
        <item x="16"/>
        <item x="201"/>
        <item x="40"/>
        <item x="64"/>
        <item x="361"/>
        <item x="222"/>
        <item x="294"/>
        <item x="366"/>
        <item x="213"/>
        <item x="426"/>
        <item x="152"/>
        <item x="235"/>
        <item x="514"/>
        <item x="198"/>
        <item x="194"/>
        <item x="56"/>
        <item x="292"/>
        <item x="164"/>
        <item x="120"/>
        <item x="69"/>
        <item x="425"/>
        <item x="116"/>
        <item x="414"/>
        <item x="505"/>
        <item x="92"/>
        <item x="443"/>
        <item x="185"/>
        <item x="53"/>
        <item x="187"/>
        <item x="62"/>
        <item x="273"/>
        <item x="417"/>
        <item x="42"/>
        <item x="435"/>
        <item x="102"/>
        <item x="395"/>
        <item x="429"/>
        <item x="252"/>
        <item x="516"/>
        <item x="256"/>
        <item x="322"/>
        <item x="468"/>
        <item x="349"/>
        <item x="551"/>
        <item x="228"/>
        <item x="182"/>
        <item x="50"/>
        <item x="348"/>
        <item x="399"/>
        <item x="193"/>
        <item x="386"/>
        <item x="229"/>
        <item x="166"/>
        <item x="236"/>
        <item x="436"/>
        <item x="553"/>
        <item x="364"/>
        <item x="261"/>
        <item x="465"/>
        <item x="500"/>
        <item x="138"/>
        <item x="151"/>
        <item x="506"/>
        <item x="297"/>
        <item x="493"/>
        <item x="214"/>
        <item x="554"/>
        <item x="323"/>
        <item x="45"/>
        <item x="380"/>
        <item x="108"/>
        <item x="216"/>
        <item x="79"/>
        <item x="356"/>
        <item x="114"/>
        <item x="76"/>
        <item x="520"/>
        <item x="507"/>
        <item x="406"/>
        <item x="324"/>
        <item x="318"/>
        <item x="430"/>
        <item x="46"/>
        <item x="327"/>
        <item x="478"/>
        <item x="463"/>
        <item x="125"/>
        <item x="168"/>
        <item x="451"/>
        <item x="428"/>
        <item x="519"/>
        <item x="91"/>
        <item x="169"/>
        <item x="113"/>
        <item x="188"/>
        <item x="104"/>
        <item x="491"/>
        <item x="218"/>
        <item x="259"/>
        <item x="354"/>
        <item x="352"/>
        <item x="513"/>
        <item x="490"/>
        <item x="122"/>
        <item x="397"/>
        <item x="17"/>
        <item x="15"/>
        <item x="483"/>
        <item x="488"/>
        <item x="9"/>
        <item x="165"/>
        <item x="61"/>
        <item x="509"/>
        <item x="347"/>
        <item x="420"/>
        <item x="503"/>
        <item x="160"/>
        <item x="546"/>
        <item x="523"/>
        <item x="341"/>
        <item x="371"/>
        <item x="296"/>
        <item x="20"/>
        <item x="480"/>
        <item x="331"/>
        <item x="0"/>
        <item x="333"/>
        <item x="401"/>
        <item x="439"/>
        <item x="376"/>
        <item x="54"/>
        <item x="530"/>
        <item x="94"/>
        <item x="445"/>
        <item x="460"/>
        <item x="484"/>
        <item x="309"/>
        <item x="246"/>
        <item x="286"/>
        <item x="55"/>
        <item x="255"/>
        <item x="377"/>
        <item x="106"/>
        <item x="537"/>
        <item x="82"/>
        <item x="89"/>
        <item x="547"/>
        <item x="408"/>
        <item x="98"/>
        <item x="319"/>
        <item x="544"/>
        <item x="312"/>
        <item x="304"/>
        <item x="220"/>
        <item x="28"/>
        <item x="41"/>
        <item x="83"/>
        <item x="233"/>
        <item x="495"/>
        <item x="272"/>
        <item x="317"/>
        <item x="153"/>
        <item x="528"/>
        <item x="181"/>
        <item x="24"/>
        <item x="482"/>
        <item x="25"/>
        <item x="173"/>
        <item x="521"/>
        <item x="299"/>
        <item x="210"/>
        <item x="258"/>
        <item x="407"/>
        <item x="346"/>
        <item x="400"/>
        <item x="499"/>
        <item x="552"/>
        <item x="71"/>
        <item x="78"/>
        <item x="157"/>
        <item x="204"/>
        <item x="367"/>
        <item x="249"/>
        <item x="305"/>
        <item x="87"/>
        <item x="248"/>
        <item x="31"/>
        <item x="21"/>
        <item x="496"/>
        <item x="217"/>
        <item x="432"/>
        <item x="131"/>
        <item x="190"/>
        <item x="239"/>
        <item x="487"/>
        <item x="434"/>
        <item x="375"/>
        <item x="80"/>
        <item x="454"/>
        <item x="70"/>
        <item x="200"/>
        <item x="73"/>
        <item x="387"/>
        <item x="280"/>
        <item x="57"/>
        <item x="223"/>
        <item x="172"/>
        <item x="472"/>
        <item x="268"/>
        <item x="459"/>
        <item x="559"/>
        <item x="4"/>
        <item x="326"/>
        <item x="284"/>
        <item x="290"/>
        <item x="26"/>
        <item x="129"/>
        <item x="148"/>
        <item x="444"/>
        <item x="39"/>
        <item x="381"/>
        <item x="285"/>
        <item x="321"/>
        <item x="481"/>
        <item x="281"/>
        <item x="196"/>
        <item x="139"/>
        <item x="492"/>
        <item x="372"/>
        <item x="316"/>
        <item x="358"/>
        <item x="536"/>
        <item x="360"/>
        <item x="477"/>
        <item x="13"/>
        <item x="328"/>
        <item x="337"/>
        <item x="175"/>
        <item x="265"/>
        <item x="85"/>
        <item x="48"/>
        <item x="242"/>
        <item x="357"/>
        <item x="419"/>
        <item x="314"/>
        <item x="412"/>
        <item x="105"/>
        <item x="558"/>
        <item x="215"/>
        <item x="476"/>
        <item x="440"/>
        <item x="1"/>
        <item x="65"/>
        <item x="247"/>
        <item x="52"/>
        <item x="240"/>
        <item x="232"/>
        <item x="471"/>
        <item x="359"/>
        <item x="441"/>
        <item x="107"/>
        <item x="450"/>
        <item x="23"/>
        <item x="209"/>
        <item x="474"/>
        <item x="533"/>
        <item x="542"/>
        <item x="137"/>
        <item x="315"/>
        <item x="510"/>
        <item x="133"/>
        <item x="219"/>
        <item x="202"/>
        <item x="293"/>
        <item x="171"/>
        <item x="207"/>
        <item x="33"/>
        <item x="167"/>
        <item x="244"/>
        <item x="180"/>
        <item x="368"/>
        <item x="75"/>
        <item x="306"/>
        <item x="462"/>
        <item x="557"/>
        <item x="184"/>
        <item x="456"/>
        <item x="123"/>
        <item x="457"/>
        <item x="467"/>
        <item x="34"/>
        <item x="538"/>
        <item x="374"/>
        <item x="238"/>
        <item x="257"/>
        <item x="344"/>
        <item x="415"/>
        <item x="383"/>
        <item x="534"/>
        <item x="84"/>
        <item x="127"/>
        <item x="135"/>
        <item x="195"/>
        <item x="413"/>
        <item x="403"/>
        <item x="385"/>
        <item x="393"/>
        <item x="29"/>
        <item x="453"/>
        <item x="378"/>
        <item x="66"/>
        <item x="511"/>
        <item x="183"/>
        <item x="540"/>
        <item x="253"/>
        <item x="283"/>
        <item x="562"/>
        <item x="485"/>
        <item x="225"/>
        <item x="342"/>
        <item x="269"/>
        <item x="475"/>
        <item x="27"/>
        <item x="526"/>
        <item x="545"/>
        <item x="140"/>
        <item x="561"/>
        <item x="353"/>
        <item x="466"/>
        <item x="449"/>
        <item x="68"/>
        <item x="438"/>
        <item x="278"/>
        <item x="109"/>
        <item x="144"/>
        <item x="189"/>
        <item x="494"/>
        <item x="508"/>
        <item x="150"/>
        <item x="96"/>
        <item x="163"/>
        <item x="275"/>
        <item x="95"/>
        <item x="524"/>
        <item x="479"/>
        <item x="404"/>
        <item x="230"/>
        <item x="47"/>
        <item x="531"/>
        <item x="320"/>
        <item x="32"/>
        <item x="365"/>
        <item x="470"/>
        <item x="243"/>
        <item x="254"/>
        <item x="442"/>
        <item x="142"/>
        <item x="119"/>
        <item x="178"/>
        <item x="308"/>
        <item x="263"/>
        <item x="90"/>
        <item x="373"/>
        <item x="124"/>
        <item x="515"/>
        <item x="409"/>
        <item x="49"/>
        <item x="205"/>
        <item x="5"/>
        <item x="203"/>
        <item x="199"/>
        <item x="206"/>
        <item x="43"/>
        <item x="556"/>
        <item x="192"/>
        <item x="330"/>
        <item x="338"/>
        <item x="336"/>
        <item x="110"/>
        <item x="390"/>
        <item x="455"/>
        <item x="241"/>
        <item x="147"/>
        <item x="117"/>
        <item x="433"/>
        <item x="548"/>
        <item x="271"/>
        <item x="59"/>
        <item x="394"/>
        <item x="369"/>
        <item x="498"/>
        <item x="8"/>
        <item x="384"/>
        <item x="86"/>
        <item x="447"/>
        <item x="221"/>
        <item x="427"/>
        <item x="58"/>
        <item x="461"/>
        <item x="103"/>
        <item x="276"/>
        <item x="121"/>
        <item x="301"/>
        <item x="100"/>
        <item x="130"/>
        <item x="529"/>
        <item x="311"/>
        <item x="355"/>
        <item x="19"/>
        <item x="270"/>
        <item x="277"/>
        <item x="111"/>
        <item x="197"/>
        <item x="264"/>
        <item x="517"/>
        <item x="335"/>
        <item x="525"/>
        <item x="72"/>
        <item x="431"/>
        <item x="262"/>
        <item x="74"/>
        <item x="469"/>
        <item x="162"/>
        <item x="12"/>
        <item x="208"/>
        <item x="388"/>
        <item x="266"/>
        <item x="351"/>
        <item x="391"/>
        <item x="392"/>
        <item x="501"/>
        <item x="177"/>
        <item x="313"/>
        <item x="424"/>
        <item x="512"/>
        <item x="36"/>
        <item x="132"/>
        <item x="303"/>
        <item x="234"/>
        <item x="211"/>
        <item x="170"/>
        <item x="396"/>
        <item x="231"/>
        <item x="362"/>
        <item x="543"/>
        <item x="363"/>
        <item x="226"/>
        <item x="332"/>
        <item x="560"/>
        <item x="287"/>
        <item x="60"/>
        <item x="422"/>
        <item x="145"/>
        <item x="522"/>
        <item x="298"/>
        <item x="421"/>
        <item x="37"/>
        <item x="251"/>
        <item x="539"/>
        <item x="486"/>
        <item x="7"/>
        <item x="279"/>
        <item x="535"/>
        <item x="291"/>
        <item x="452"/>
        <item x="307"/>
        <item x="250"/>
        <item x="112"/>
        <item x="416"/>
        <item x="224"/>
        <item x="126"/>
        <item x="146"/>
        <item x="502"/>
        <item x="464"/>
        <item x="38"/>
        <item x="288"/>
        <item x="325"/>
        <item x="63"/>
        <item x="18"/>
        <item x="329"/>
        <item x="149"/>
        <item x="176"/>
        <item x="179"/>
        <item x="402"/>
        <item x="35"/>
        <item x="11"/>
        <item x="10"/>
        <item x="282"/>
        <item x="227"/>
        <item x="6"/>
        <item x="22"/>
        <item x="101"/>
        <item x="370"/>
        <item x="128"/>
        <item x="81"/>
        <item x="382"/>
        <item x="136"/>
        <item x="350"/>
        <item x="44"/>
        <item x="2"/>
        <item x="93"/>
        <item x="295"/>
        <item x="245"/>
        <item x="88"/>
        <item x="134"/>
        <item x="267"/>
        <item x="527"/>
        <item x="334"/>
        <item x="155"/>
        <item x="97"/>
        <item x="154"/>
        <item x="398"/>
        <item x="14"/>
        <item x="158"/>
        <item x="446"/>
        <item x="458"/>
        <item x="410"/>
        <item x="504"/>
        <item x="555"/>
        <item x="310"/>
        <item x="118"/>
        <item x="389"/>
        <item x="423"/>
        <item x="550"/>
        <item x="260"/>
        <item x="411"/>
        <item x="237"/>
        <item x="67"/>
        <item x="418"/>
        <item x="51"/>
        <item x="518"/>
        <item x="159"/>
        <item x="186"/>
        <item x="3"/>
        <item x="191"/>
        <item x="405"/>
        <item x="300"/>
        <item x="437"/>
        <item x="77"/>
        <item x="448"/>
        <item x="489"/>
        <item x="274"/>
        <item x="141"/>
        <item x="473"/>
        <item x="115"/>
        <item x="497"/>
        <item x="30"/>
        <item x="289"/>
        <item x="174"/>
        <item x="212"/>
        <item x="549"/>
        <item x="343"/>
        <item x="339"/>
        <item x="340"/>
        <item x="345"/>
        <item x="99"/>
        <item x="541"/>
        <item x="302"/>
        <item x="532"/>
        <item t="default"/>
      </items>
    </pivotField>
    <pivotField axis="axisRow" showAll="0">
      <items count="5">
        <item x="2"/>
        <item x="3"/>
        <item x="1"/>
        <item x="0"/>
        <item t="default"/>
      </items>
    </pivotField>
    <pivotField showAll="0"/>
    <pivotField showAll="0">
      <items count="11">
        <item h="1" x="7"/>
        <item h="1" x="4"/>
        <item x="3"/>
        <item x="8"/>
        <item x="1"/>
        <item x="2"/>
        <item x="0"/>
        <item h="1" x="9"/>
        <item h="1" x="6"/>
        <item h="1" x="5"/>
        <item t="default"/>
      </items>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3"/>
  </rowFields>
  <rowItems count="5">
    <i>
      <x/>
    </i>
    <i>
      <x v="1"/>
    </i>
    <i>
      <x v="2"/>
    </i>
    <i>
      <x v="3"/>
    </i>
    <i t="grand">
      <x/>
    </i>
  </rowItems>
  <colItems count="1">
    <i/>
  </colItems>
  <dataFields count="1">
    <dataField name="Sum of Units_Sold" fld="7" baseField="0" baseItem="0"/>
  </dataFields>
  <formats count="6">
    <format dxfId="818">
      <pivotArea type="all" dataOnly="0" outline="0" fieldPosition="0"/>
    </format>
    <format dxfId="817">
      <pivotArea field="3" type="button" dataOnly="0" labelOnly="1" outline="0" axis="axisRow" fieldPosition="0"/>
    </format>
    <format dxfId="816">
      <pivotArea dataOnly="0" labelOnly="1" fieldPosition="0">
        <references count="1">
          <reference field="3" count="0"/>
        </references>
      </pivotArea>
    </format>
    <format dxfId="815">
      <pivotArea dataOnly="0" labelOnly="1" grandRow="1" outline="0" fieldPosition="0"/>
    </format>
    <format dxfId="814">
      <pivotArea dataOnly="0" labelOnly="1" outline="0" axis="axisValues" fieldPosition="0"/>
    </format>
    <format dxfId="813">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670828-23B9-4FBC-8EBE-A12C4EA953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7">
    <pivotField showAll="0"/>
    <pivotField showAll="0"/>
    <pivotField numFmtId="14" showAll="0">
      <items count="564">
        <item x="161"/>
        <item x="156"/>
        <item x="379"/>
        <item x="143"/>
        <item x="16"/>
        <item x="201"/>
        <item x="40"/>
        <item x="64"/>
        <item x="361"/>
        <item x="222"/>
        <item x="294"/>
        <item x="366"/>
        <item x="213"/>
        <item x="426"/>
        <item x="152"/>
        <item x="235"/>
        <item x="514"/>
        <item x="198"/>
        <item x="194"/>
        <item x="56"/>
        <item x="292"/>
        <item x="164"/>
        <item x="120"/>
        <item x="69"/>
        <item x="425"/>
        <item x="116"/>
        <item x="414"/>
        <item x="505"/>
        <item x="92"/>
        <item x="443"/>
        <item x="185"/>
        <item x="53"/>
        <item x="187"/>
        <item x="62"/>
        <item x="273"/>
        <item x="417"/>
        <item x="42"/>
        <item x="435"/>
        <item x="102"/>
        <item x="395"/>
        <item x="429"/>
        <item x="252"/>
        <item x="516"/>
        <item x="256"/>
        <item x="322"/>
        <item x="468"/>
        <item x="349"/>
        <item x="551"/>
        <item x="228"/>
        <item x="182"/>
        <item x="50"/>
        <item x="348"/>
        <item x="399"/>
        <item x="193"/>
        <item x="386"/>
        <item x="229"/>
        <item x="166"/>
        <item x="236"/>
        <item x="436"/>
        <item x="553"/>
        <item x="364"/>
        <item x="261"/>
        <item x="465"/>
        <item x="500"/>
        <item x="138"/>
        <item x="151"/>
        <item x="506"/>
        <item x="297"/>
        <item x="493"/>
        <item x="214"/>
        <item x="554"/>
        <item x="323"/>
        <item x="45"/>
        <item x="380"/>
        <item x="108"/>
        <item x="216"/>
        <item x="79"/>
        <item x="356"/>
        <item x="114"/>
        <item x="76"/>
        <item x="520"/>
        <item x="507"/>
        <item x="406"/>
        <item x="324"/>
        <item x="318"/>
        <item x="430"/>
        <item x="46"/>
        <item x="327"/>
        <item x="478"/>
        <item x="463"/>
        <item x="125"/>
        <item x="168"/>
        <item x="451"/>
        <item x="428"/>
        <item x="519"/>
        <item x="91"/>
        <item x="169"/>
        <item x="113"/>
        <item x="188"/>
        <item x="104"/>
        <item x="491"/>
        <item x="218"/>
        <item x="259"/>
        <item x="354"/>
        <item x="352"/>
        <item x="513"/>
        <item x="490"/>
        <item x="122"/>
        <item x="397"/>
        <item x="17"/>
        <item x="15"/>
        <item x="483"/>
        <item x="488"/>
        <item x="9"/>
        <item x="165"/>
        <item x="61"/>
        <item x="509"/>
        <item x="347"/>
        <item x="420"/>
        <item x="503"/>
        <item x="160"/>
        <item x="546"/>
        <item x="523"/>
        <item x="341"/>
        <item x="371"/>
        <item x="296"/>
        <item x="20"/>
        <item x="480"/>
        <item x="331"/>
        <item x="0"/>
        <item x="333"/>
        <item x="401"/>
        <item x="439"/>
        <item x="376"/>
        <item x="54"/>
        <item x="530"/>
        <item x="94"/>
        <item x="445"/>
        <item x="460"/>
        <item x="484"/>
        <item x="309"/>
        <item x="246"/>
        <item x="286"/>
        <item x="55"/>
        <item x="255"/>
        <item x="377"/>
        <item x="106"/>
        <item x="537"/>
        <item x="82"/>
        <item x="89"/>
        <item x="547"/>
        <item x="408"/>
        <item x="98"/>
        <item x="319"/>
        <item x="544"/>
        <item x="312"/>
        <item x="304"/>
        <item x="220"/>
        <item x="28"/>
        <item x="41"/>
        <item x="83"/>
        <item x="233"/>
        <item x="495"/>
        <item x="272"/>
        <item x="317"/>
        <item x="153"/>
        <item x="528"/>
        <item x="181"/>
        <item x="24"/>
        <item x="482"/>
        <item x="25"/>
        <item x="173"/>
        <item x="521"/>
        <item x="299"/>
        <item x="210"/>
        <item x="258"/>
        <item x="407"/>
        <item x="346"/>
        <item x="400"/>
        <item x="499"/>
        <item x="552"/>
        <item x="71"/>
        <item x="78"/>
        <item x="157"/>
        <item x="204"/>
        <item x="367"/>
        <item x="249"/>
        <item x="305"/>
        <item x="87"/>
        <item x="248"/>
        <item x="31"/>
        <item x="21"/>
        <item x="496"/>
        <item x="217"/>
        <item x="432"/>
        <item x="131"/>
        <item x="190"/>
        <item x="239"/>
        <item x="487"/>
        <item x="434"/>
        <item x="375"/>
        <item x="80"/>
        <item x="454"/>
        <item x="70"/>
        <item x="200"/>
        <item x="73"/>
        <item x="387"/>
        <item x="280"/>
        <item x="57"/>
        <item x="223"/>
        <item x="172"/>
        <item x="472"/>
        <item x="268"/>
        <item x="459"/>
        <item x="559"/>
        <item x="4"/>
        <item x="326"/>
        <item x="284"/>
        <item x="290"/>
        <item x="26"/>
        <item x="129"/>
        <item x="148"/>
        <item x="444"/>
        <item x="39"/>
        <item x="381"/>
        <item x="285"/>
        <item x="321"/>
        <item x="481"/>
        <item x="281"/>
        <item x="196"/>
        <item x="139"/>
        <item x="492"/>
        <item x="372"/>
        <item x="316"/>
        <item x="358"/>
        <item x="536"/>
        <item x="360"/>
        <item x="477"/>
        <item x="13"/>
        <item x="328"/>
        <item x="337"/>
        <item x="175"/>
        <item x="265"/>
        <item x="85"/>
        <item x="48"/>
        <item x="242"/>
        <item x="357"/>
        <item x="419"/>
        <item x="314"/>
        <item x="412"/>
        <item x="105"/>
        <item x="558"/>
        <item x="215"/>
        <item x="476"/>
        <item x="440"/>
        <item x="1"/>
        <item x="65"/>
        <item x="247"/>
        <item x="52"/>
        <item x="240"/>
        <item x="232"/>
        <item x="471"/>
        <item x="359"/>
        <item x="441"/>
        <item x="107"/>
        <item x="450"/>
        <item x="23"/>
        <item x="209"/>
        <item x="474"/>
        <item x="533"/>
        <item x="542"/>
        <item x="137"/>
        <item x="315"/>
        <item x="510"/>
        <item x="133"/>
        <item x="219"/>
        <item x="202"/>
        <item x="293"/>
        <item x="171"/>
        <item x="207"/>
        <item x="33"/>
        <item x="167"/>
        <item x="244"/>
        <item x="180"/>
        <item x="368"/>
        <item x="75"/>
        <item x="306"/>
        <item x="462"/>
        <item x="557"/>
        <item x="184"/>
        <item x="456"/>
        <item x="123"/>
        <item x="457"/>
        <item x="467"/>
        <item x="34"/>
        <item x="538"/>
        <item x="374"/>
        <item x="238"/>
        <item x="257"/>
        <item x="344"/>
        <item x="415"/>
        <item x="383"/>
        <item x="534"/>
        <item x="84"/>
        <item x="127"/>
        <item x="135"/>
        <item x="195"/>
        <item x="413"/>
        <item x="403"/>
        <item x="385"/>
        <item x="393"/>
        <item x="29"/>
        <item x="453"/>
        <item x="378"/>
        <item x="66"/>
        <item x="511"/>
        <item x="183"/>
        <item x="540"/>
        <item x="253"/>
        <item x="283"/>
        <item x="562"/>
        <item x="485"/>
        <item x="225"/>
        <item x="342"/>
        <item x="269"/>
        <item x="475"/>
        <item x="27"/>
        <item x="526"/>
        <item x="545"/>
        <item x="140"/>
        <item x="561"/>
        <item x="353"/>
        <item x="466"/>
        <item x="449"/>
        <item x="68"/>
        <item x="438"/>
        <item x="278"/>
        <item x="109"/>
        <item x="144"/>
        <item x="189"/>
        <item x="494"/>
        <item x="508"/>
        <item x="150"/>
        <item x="96"/>
        <item x="163"/>
        <item x="275"/>
        <item x="95"/>
        <item x="524"/>
        <item x="479"/>
        <item x="404"/>
        <item x="230"/>
        <item x="47"/>
        <item x="531"/>
        <item x="320"/>
        <item x="32"/>
        <item x="365"/>
        <item x="470"/>
        <item x="243"/>
        <item x="254"/>
        <item x="442"/>
        <item x="142"/>
        <item x="119"/>
        <item x="178"/>
        <item x="308"/>
        <item x="263"/>
        <item x="90"/>
        <item x="373"/>
        <item x="124"/>
        <item x="515"/>
        <item x="409"/>
        <item x="49"/>
        <item x="205"/>
        <item x="5"/>
        <item x="203"/>
        <item x="199"/>
        <item x="206"/>
        <item x="43"/>
        <item x="556"/>
        <item x="192"/>
        <item x="330"/>
        <item x="338"/>
        <item x="336"/>
        <item x="110"/>
        <item x="390"/>
        <item x="455"/>
        <item x="241"/>
        <item x="147"/>
        <item x="117"/>
        <item x="433"/>
        <item x="548"/>
        <item x="271"/>
        <item x="59"/>
        <item x="394"/>
        <item x="369"/>
        <item x="498"/>
        <item x="8"/>
        <item x="384"/>
        <item x="86"/>
        <item x="447"/>
        <item x="221"/>
        <item x="427"/>
        <item x="58"/>
        <item x="461"/>
        <item x="103"/>
        <item x="276"/>
        <item x="121"/>
        <item x="301"/>
        <item x="100"/>
        <item x="130"/>
        <item x="529"/>
        <item x="311"/>
        <item x="355"/>
        <item x="19"/>
        <item x="270"/>
        <item x="277"/>
        <item x="111"/>
        <item x="197"/>
        <item x="264"/>
        <item x="517"/>
        <item x="335"/>
        <item x="525"/>
        <item x="72"/>
        <item x="431"/>
        <item x="262"/>
        <item x="74"/>
        <item x="469"/>
        <item x="162"/>
        <item x="12"/>
        <item x="208"/>
        <item x="388"/>
        <item x="266"/>
        <item x="351"/>
        <item x="391"/>
        <item x="392"/>
        <item x="501"/>
        <item x="177"/>
        <item x="313"/>
        <item x="424"/>
        <item x="512"/>
        <item x="36"/>
        <item x="132"/>
        <item x="303"/>
        <item x="234"/>
        <item x="211"/>
        <item x="170"/>
        <item x="396"/>
        <item x="231"/>
        <item x="362"/>
        <item x="543"/>
        <item x="363"/>
        <item x="226"/>
        <item x="332"/>
        <item x="560"/>
        <item x="287"/>
        <item x="60"/>
        <item x="422"/>
        <item x="145"/>
        <item x="522"/>
        <item x="298"/>
        <item x="421"/>
        <item x="37"/>
        <item x="251"/>
        <item x="539"/>
        <item x="486"/>
        <item x="7"/>
        <item x="279"/>
        <item x="535"/>
        <item x="291"/>
        <item x="452"/>
        <item x="307"/>
        <item x="250"/>
        <item x="112"/>
        <item x="416"/>
        <item x="224"/>
        <item x="126"/>
        <item x="146"/>
        <item x="502"/>
        <item x="464"/>
        <item x="38"/>
        <item x="288"/>
        <item x="325"/>
        <item x="63"/>
        <item x="18"/>
        <item x="329"/>
        <item x="149"/>
        <item x="176"/>
        <item x="179"/>
        <item x="402"/>
        <item x="35"/>
        <item x="11"/>
        <item x="10"/>
        <item x="282"/>
        <item x="227"/>
        <item x="6"/>
        <item x="22"/>
        <item x="101"/>
        <item x="370"/>
        <item x="128"/>
        <item x="81"/>
        <item x="382"/>
        <item x="136"/>
        <item x="350"/>
        <item x="44"/>
        <item x="2"/>
        <item x="93"/>
        <item x="295"/>
        <item x="245"/>
        <item x="88"/>
        <item x="134"/>
        <item x="267"/>
        <item x="527"/>
        <item x="334"/>
        <item x="155"/>
        <item x="97"/>
        <item x="154"/>
        <item x="398"/>
        <item x="14"/>
        <item x="158"/>
        <item x="446"/>
        <item x="458"/>
        <item x="410"/>
        <item x="504"/>
        <item x="555"/>
        <item x="310"/>
        <item x="118"/>
        <item x="389"/>
        <item x="423"/>
        <item x="550"/>
        <item x="260"/>
        <item x="411"/>
        <item x="237"/>
        <item x="67"/>
        <item x="418"/>
        <item x="51"/>
        <item x="518"/>
        <item x="159"/>
        <item x="186"/>
        <item x="3"/>
        <item x="191"/>
        <item x="405"/>
        <item x="300"/>
        <item x="437"/>
        <item x="77"/>
        <item x="448"/>
        <item x="489"/>
        <item x="274"/>
        <item x="141"/>
        <item x="473"/>
        <item x="115"/>
        <item x="497"/>
        <item x="30"/>
        <item x="289"/>
        <item x="174"/>
        <item x="212"/>
        <item x="549"/>
        <item x="343"/>
        <item x="339"/>
        <item x="340"/>
        <item x="345"/>
        <item x="99"/>
        <item x="541"/>
        <item x="302"/>
        <item x="532"/>
        <item t="default"/>
      </items>
    </pivotField>
    <pivotField showAll="0">
      <items count="5">
        <item x="2"/>
        <item x="3"/>
        <item x="1"/>
        <item x="0"/>
        <item t="default"/>
      </items>
    </pivotField>
    <pivotField showAll="0"/>
    <pivotField axis="axisRow" showAll="0">
      <items count="11">
        <item h="1" x="7"/>
        <item h="1" x="4"/>
        <item x="3"/>
        <item x="8"/>
        <item x="1"/>
        <item x="2"/>
        <item x="0"/>
        <item h="1" x="9"/>
        <item h="1" x="6"/>
        <item h="1" x="5"/>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5"/>
  </rowFields>
  <rowItems count="6">
    <i>
      <x v="2"/>
    </i>
    <i>
      <x v="3"/>
    </i>
    <i>
      <x v="4"/>
    </i>
    <i>
      <x v="5"/>
    </i>
    <i>
      <x v="6"/>
    </i>
    <i t="grand">
      <x/>
    </i>
  </rowItems>
  <colItems count="1">
    <i/>
  </colItems>
  <dataFields count="1">
    <dataField name="Sum of Sale_Amount_USD" fld="8" baseField="0" baseItem="0" numFmtId="164"/>
  </dataFields>
  <formats count="1">
    <format dxfId="8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43C4DB-3833-4E96-AD85-CB199090E9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7">
    <pivotField showAll="0"/>
    <pivotField showAll="0"/>
    <pivotField numFmtId="14" showAll="0">
      <items count="564">
        <item x="161"/>
        <item x="156"/>
        <item x="379"/>
        <item x="143"/>
        <item x="16"/>
        <item x="201"/>
        <item x="40"/>
        <item x="64"/>
        <item x="361"/>
        <item x="222"/>
        <item x="294"/>
        <item x="366"/>
        <item x="213"/>
        <item x="426"/>
        <item x="152"/>
        <item x="235"/>
        <item x="514"/>
        <item x="198"/>
        <item x="194"/>
        <item x="56"/>
        <item x="292"/>
        <item x="164"/>
        <item x="120"/>
        <item x="69"/>
        <item x="425"/>
        <item x="116"/>
        <item x="414"/>
        <item x="505"/>
        <item x="92"/>
        <item x="443"/>
        <item x="185"/>
        <item x="53"/>
        <item x="187"/>
        <item x="62"/>
        <item x="273"/>
        <item x="417"/>
        <item x="42"/>
        <item x="435"/>
        <item x="102"/>
        <item x="395"/>
        <item x="429"/>
        <item x="252"/>
        <item x="516"/>
        <item x="256"/>
        <item x="322"/>
        <item x="468"/>
        <item x="349"/>
        <item x="551"/>
        <item x="228"/>
        <item x="182"/>
        <item x="50"/>
        <item x="348"/>
        <item x="399"/>
        <item x="193"/>
        <item x="386"/>
        <item x="229"/>
        <item x="166"/>
        <item x="236"/>
        <item x="436"/>
        <item x="553"/>
        <item x="364"/>
        <item x="261"/>
        <item x="465"/>
        <item x="500"/>
        <item x="138"/>
        <item x="151"/>
        <item x="506"/>
        <item x="297"/>
        <item x="493"/>
        <item x="214"/>
        <item x="554"/>
        <item x="323"/>
        <item x="45"/>
        <item x="380"/>
        <item x="108"/>
        <item x="216"/>
        <item x="79"/>
        <item x="356"/>
        <item x="114"/>
        <item x="76"/>
        <item x="520"/>
        <item x="507"/>
        <item x="406"/>
        <item x="324"/>
        <item x="318"/>
        <item x="430"/>
        <item x="46"/>
        <item x="327"/>
        <item x="478"/>
        <item x="463"/>
        <item x="125"/>
        <item x="168"/>
        <item x="451"/>
        <item x="428"/>
        <item x="519"/>
        <item x="91"/>
        <item x="169"/>
        <item x="113"/>
        <item x="188"/>
        <item x="104"/>
        <item x="491"/>
        <item x="218"/>
        <item x="259"/>
        <item x="354"/>
        <item x="352"/>
        <item x="513"/>
        <item x="490"/>
        <item x="122"/>
        <item x="397"/>
        <item x="17"/>
        <item x="15"/>
        <item x="483"/>
        <item x="488"/>
        <item x="9"/>
        <item x="165"/>
        <item x="61"/>
        <item x="509"/>
        <item x="347"/>
        <item x="420"/>
        <item x="503"/>
        <item x="160"/>
        <item x="546"/>
        <item x="523"/>
        <item x="341"/>
        <item x="371"/>
        <item x="296"/>
        <item x="20"/>
        <item x="480"/>
        <item x="331"/>
        <item x="0"/>
        <item x="333"/>
        <item x="401"/>
        <item x="439"/>
        <item x="376"/>
        <item x="54"/>
        <item x="530"/>
        <item x="94"/>
        <item x="445"/>
        <item x="460"/>
        <item x="484"/>
        <item x="309"/>
        <item x="246"/>
        <item x="286"/>
        <item x="55"/>
        <item x="255"/>
        <item x="377"/>
        <item x="106"/>
        <item x="537"/>
        <item x="82"/>
        <item x="89"/>
        <item x="547"/>
        <item x="408"/>
        <item x="98"/>
        <item x="319"/>
        <item x="544"/>
        <item x="312"/>
        <item x="304"/>
        <item x="220"/>
        <item x="28"/>
        <item x="41"/>
        <item x="83"/>
        <item x="233"/>
        <item x="495"/>
        <item x="272"/>
        <item x="317"/>
        <item x="153"/>
        <item x="528"/>
        <item x="181"/>
        <item x="24"/>
        <item x="482"/>
        <item x="25"/>
        <item x="173"/>
        <item x="521"/>
        <item x="299"/>
        <item x="210"/>
        <item x="258"/>
        <item x="407"/>
        <item x="346"/>
        <item x="400"/>
        <item x="499"/>
        <item x="552"/>
        <item x="71"/>
        <item x="78"/>
        <item x="157"/>
        <item x="204"/>
        <item x="367"/>
        <item x="249"/>
        <item x="305"/>
        <item x="87"/>
        <item x="248"/>
        <item x="31"/>
        <item x="21"/>
        <item x="496"/>
        <item x="217"/>
        <item x="432"/>
        <item x="131"/>
        <item x="190"/>
        <item x="239"/>
        <item x="487"/>
        <item x="434"/>
        <item x="375"/>
        <item x="80"/>
        <item x="454"/>
        <item x="70"/>
        <item x="200"/>
        <item x="73"/>
        <item x="387"/>
        <item x="280"/>
        <item x="57"/>
        <item x="223"/>
        <item x="172"/>
        <item x="472"/>
        <item x="268"/>
        <item x="459"/>
        <item x="559"/>
        <item x="4"/>
        <item x="326"/>
        <item x="284"/>
        <item x="290"/>
        <item x="26"/>
        <item x="129"/>
        <item x="148"/>
        <item x="444"/>
        <item x="39"/>
        <item x="381"/>
        <item x="285"/>
        <item x="321"/>
        <item x="481"/>
        <item x="281"/>
        <item x="196"/>
        <item x="139"/>
        <item x="492"/>
        <item x="372"/>
        <item x="316"/>
        <item x="358"/>
        <item x="536"/>
        <item x="360"/>
        <item x="477"/>
        <item x="13"/>
        <item x="328"/>
        <item x="337"/>
        <item x="175"/>
        <item x="265"/>
        <item x="85"/>
        <item x="48"/>
        <item x="242"/>
        <item x="357"/>
        <item x="419"/>
        <item x="314"/>
        <item x="412"/>
        <item x="105"/>
        <item x="558"/>
        <item x="215"/>
        <item x="476"/>
        <item x="440"/>
        <item x="1"/>
        <item x="65"/>
        <item x="247"/>
        <item x="52"/>
        <item x="240"/>
        <item x="232"/>
        <item x="471"/>
        <item x="359"/>
        <item x="441"/>
        <item x="107"/>
        <item x="450"/>
        <item x="23"/>
        <item x="209"/>
        <item x="474"/>
        <item x="533"/>
        <item x="542"/>
        <item x="137"/>
        <item x="315"/>
        <item x="510"/>
        <item x="133"/>
        <item x="219"/>
        <item x="202"/>
        <item x="293"/>
        <item x="171"/>
        <item x="207"/>
        <item x="33"/>
        <item x="167"/>
        <item x="244"/>
        <item x="180"/>
        <item x="368"/>
        <item x="75"/>
        <item x="306"/>
        <item x="462"/>
        <item x="557"/>
        <item x="184"/>
        <item x="456"/>
        <item x="123"/>
        <item x="457"/>
        <item x="467"/>
        <item x="34"/>
        <item x="538"/>
        <item x="374"/>
        <item x="238"/>
        <item x="257"/>
        <item x="344"/>
        <item x="415"/>
        <item x="383"/>
        <item x="534"/>
        <item x="84"/>
        <item x="127"/>
        <item x="135"/>
        <item x="195"/>
        <item x="413"/>
        <item x="403"/>
        <item x="385"/>
        <item x="393"/>
        <item x="29"/>
        <item x="453"/>
        <item x="378"/>
        <item x="66"/>
        <item x="511"/>
        <item x="183"/>
        <item x="540"/>
        <item x="253"/>
        <item x="283"/>
        <item x="562"/>
        <item x="485"/>
        <item x="225"/>
        <item x="342"/>
        <item x="269"/>
        <item x="475"/>
        <item x="27"/>
        <item x="526"/>
        <item x="545"/>
        <item x="140"/>
        <item x="561"/>
        <item x="353"/>
        <item x="466"/>
        <item x="449"/>
        <item x="68"/>
        <item x="438"/>
        <item x="278"/>
        <item x="109"/>
        <item x="144"/>
        <item x="189"/>
        <item x="494"/>
        <item x="508"/>
        <item x="150"/>
        <item x="96"/>
        <item x="163"/>
        <item x="275"/>
        <item x="95"/>
        <item x="524"/>
        <item x="479"/>
        <item x="404"/>
        <item x="230"/>
        <item x="47"/>
        <item x="531"/>
        <item x="320"/>
        <item x="32"/>
        <item x="365"/>
        <item x="470"/>
        <item x="243"/>
        <item x="254"/>
        <item x="442"/>
        <item x="142"/>
        <item x="119"/>
        <item x="178"/>
        <item x="308"/>
        <item x="263"/>
        <item x="90"/>
        <item x="373"/>
        <item x="124"/>
        <item x="515"/>
        <item x="409"/>
        <item x="49"/>
        <item x="205"/>
        <item x="5"/>
        <item x="203"/>
        <item x="199"/>
        <item x="206"/>
        <item x="43"/>
        <item x="556"/>
        <item x="192"/>
        <item x="330"/>
        <item x="338"/>
        <item x="336"/>
        <item x="110"/>
        <item x="390"/>
        <item x="455"/>
        <item x="241"/>
        <item x="147"/>
        <item x="117"/>
        <item x="433"/>
        <item x="548"/>
        <item x="271"/>
        <item x="59"/>
        <item x="394"/>
        <item x="369"/>
        <item x="498"/>
        <item x="8"/>
        <item x="384"/>
        <item x="86"/>
        <item x="447"/>
        <item x="221"/>
        <item x="427"/>
        <item x="58"/>
        <item x="461"/>
        <item x="103"/>
        <item x="276"/>
        <item x="121"/>
        <item x="301"/>
        <item x="100"/>
        <item x="130"/>
        <item x="529"/>
        <item x="311"/>
        <item x="355"/>
        <item x="19"/>
        <item x="270"/>
        <item x="277"/>
        <item x="111"/>
        <item x="197"/>
        <item x="264"/>
        <item x="517"/>
        <item x="335"/>
        <item x="525"/>
        <item x="72"/>
        <item x="431"/>
        <item x="262"/>
        <item x="74"/>
        <item x="469"/>
        <item x="162"/>
        <item x="12"/>
        <item x="208"/>
        <item x="388"/>
        <item x="266"/>
        <item x="351"/>
        <item x="391"/>
        <item x="392"/>
        <item x="501"/>
        <item x="177"/>
        <item x="313"/>
        <item x="424"/>
        <item x="512"/>
        <item x="36"/>
        <item x="132"/>
        <item x="303"/>
        <item x="234"/>
        <item x="211"/>
        <item x="170"/>
        <item x="396"/>
        <item x="231"/>
        <item x="362"/>
        <item x="543"/>
        <item x="363"/>
        <item x="226"/>
        <item x="332"/>
        <item x="560"/>
        <item x="287"/>
        <item x="60"/>
        <item x="422"/>
        <item x="145"/>
        <item x="522"/>
        <item x="298"/>
        <item x="421"/>
        <item x="37"/>
        <item x="251"/>
        <item x="539"/>
        <item x="486"/>
        <item x="7"/>
        <item x="279"/>
        <item x="535"/>
        <item x="291"/>
        <item x="452"/>
        <item x="307"/>
        <item x="250"/>
        <item x="112"/>
        <item x="416"/>
        <item x="224"/>
        <item x="126"/>
        <item x="146"/>
        <item x="502"/>
        <item x="464"/>
        <item x="38"/>
        <item x="288"/>
        <item x="325"/>
        <item x="63"/>
        <item x="18"/>
        <item x="329"/>
        <item x="149"/>
        <item x="176"/>
        <item x="179"/>
        <item x="402"/>
        <item x="35"/>
        <item x="11"/>
        <item x="10"/>
        <item x="282"/>
        <item x="227"/>
        <item x="6"/>
        <item x="22"/>
        <item x="101"/>
        <item x="370"/>
        <item x="128"/>
        <item x="81"/>
        <item x="382"/>
        <item x="136"/>
        <item x="350"/>
        <item x="44"/>
        <item x="2"/>
        <item x="93"/>
        <item x="295"/>
        <item x="245"/>
        <item x="88"/>
        <item x="134"/>
        <item x="267"/>
        <item x="527"/>
        <item x="334"/>
        <item x="155"/>
        <item x="97"/>
        <item x="154"/>
        <item x="398"/>
        <item x="14"/>
        <item x="158"/>
        <item x="446"/>
        <item x="458"/>
        <item x="410"/>
        <item x="504"/>
        <item x="555"/>
        <item x="310"/>
        <item x="118"/>
        <item x="389"/>
        <item x="423"/>
        <item x="550"/>
        <item x="260"/>
        <item x="411"/>
        <item x="237"/>
        <item x="67"/>
        <item x="418"/>
        <item x="51"/>
        <item x="518"/>
        <item x="159"/>
        <item x="186"/>
        <item x="3"/>
        <item x="191"/>
        <item x="405"/>
        <item x="300"/>
        <item x="437"/>
        <item x="77"/>
        <item x="448"/>
        <item x="489"/>
        <item x="274"/>
        <item x="141"/>
        <item x="473"/>
        <item x="115"/>
        <item x="497"/>
        <item x="30"/>
        <item x="289"/>
        <item x="174"/>
        <item x="212"/>
        <item x="549"/>
        <item x="343"/>
        <item x="339"/>
        <item x="340"/>
        <item x="345"/>
        <item x="99"/>
        <item x="541"/>
        <item x="302"/>
        <item x="532"/>
        <item t="default"/>
      </items>
    </pivotField>
    <pivotField showAll="0">
      <items count="5">
        <item x="2"/>
        <item x="3"/>
        <item x="1"/>
        <item x="0"/>
        <item t="default"/>
      </items>
    </pivotField>
    <pivotField showAll="0"/>
    <pivotField showAll="0">
      <items count="11">
        <item h="1" x="7"/>
        <item h="1" x="4"/>
        <item x="3"/>
        <item x="8"/>
        <item x="1"/>
        <item x="2"/>
        <item x="0"/>
        <item h="1" x="9"/>
        <item h="1" x="6"/>
        <item h="1" x="5"/>
        <item t="default"/>
      </items>
    </pivotField>
    <pivotField showAll="0"/>
    <pivotField showAll="0"/>
    <pivotField dataField="1" showAll="0"/>
    <pivotField axis="axisRow" showAll="0">
      <items count="6">
        <item x="2"/>
        <item x="3"/>
        <item x="0"/>
        <item x="4"/>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9"/>
  </rowFields>
  <rowItems count="6">
    <i>
      <x/>
    </i>
    <i>
      <x v="1"/>
    </i>
    <i>
      <x v="2"/>
    </i>
    <i>
      <x v="3"/>
    </i>
    <i>
      <x v="4"/>
    </i>
    <i t="grand">
      <x/>
    </i>
  </rowItems>
  <colItems count="1">
    <i/>
  </colItems>
  <dataFields count="1">
    <dataField name="Sum of Sale_Amount_USD" fld="8" baseField="0" baseItem="0" numFmtId="164"/>
  </dataFields>
  <formats count="1">
    <format dxfId="811">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2"/>
          </reference>
        </references>
      </pivotArea>
    </chartFormat>
    <chartFormat chart="1" format="5">
      <pivotArea type="data" outline="0" fieldPosition="0">
        <references count="2">
          <reference field="4294967294" count="1" selected="0">
            <x v="0"/>
          </reference>
          <reference field="9" count="1" selected="0">
            <x v="3"/>
          </reference>
        </references>
      </pivotArea>
    </chartFormat>
    <chartFormat chart="1" format="6">
      <pivotArea type="data" outline="0" fieldPosition="0">
        <references count="2">
          <reference field="4294967294" count="1" selected="0">
            <x v="0"/>
          </reference>
          <reference field="9"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4"/>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5015AE-C23B-48DB-A89D-50FBE8DC73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pivotField numFmtId="14" showAll="0">
      <items count="564">
        <item x="161"/>
        <item x="156"/>
        <item x="379"/>
        <item x="143"/>
        <item x="16"/>
        <item x="201"/>
        <item x="40"/>
        <item x="64"/>
        <item x="361"/>
        <item x="222"/>
        <item x="294"/>
        <item x="366"/>
        <item x="213"/>
        <item x="426"/>
        <item x="152"/>
        <item x="235"/>
        <item x="514"/>
        <item x="198"/>
        <item x="194"/>
        <item x="56"/>
        <item x="292"/>
        <item x="164"/>
        <item x="120"/>
        <item x="69"/>
        <item x="425"/>
        <item x="116"/>
        <item x="414"/>
        <item x="505"/>
        <item x="92"/>
        <item x="443"/>
        <item x="185"/>
        <item x="53"/>
        <item x="187"/>
        <item x="62"/>
        <item x="273"/>
        <item x="417"/>
        <item x="42"/>
        <item x="435"/>
        <item x="102"/>
        <item x="395"/>
        <item x="429"/>
        <item x="252"/>
        <item x="516"/>
        <item x="256"/>
        <item x="322"/>
        <item x="468"/>
        <item x="349"/>
        <item x="551"/>
        <item x="228"/>
        <item x="182"/>
        <item x="50"/>
        <item x="348"/>
        <item x="399"/>
        <item x="193"/>
        <item x="386"/>
        <item x="229"/>
        <item x="166"/>
        <item x="236"/>
        <item x="436"/>
        <item x="553"/>
        <item x="364"/>
        <item x="261"/>
        <item x="465"/>
        <item x="500"/>
        <item x="138"/>
        <item x="151"/>
        <item x="506"/>
        <item x="297"/>
        <item x="493"/>
        <item x="214"/>
        <item x="554"/>
        <item x="323"/>
        <item x="45"/>
        <item x="380"/>
        <item x="108"/>
        <item x="216"/>
        <item x="79"/>
        <item x="356"/>
        <item x="114"/>
        <item x="76"/>
        <item x="520"/>
        <item x="507"/>
        <item x="406"/>
        <item x="324"/>
        <item x="318"/>
        <item x="430"/>
        <item x="46"/>
        <item x="327"/>
        <item x="478"/>
        <item x="463"/>
        <item x="125"/>
        <item x="168"/>
        <item x="451"/>
        <item x="428"/>
        <item x="519"/>
        <item x="91"/>
        <item x="169"/>
        <item x="113"/>
        <item x="188"/>
        <item x="104"/>
        <item x="491"/>
        <item x="218"/>
        <item x="259"/>
        <item x="354"/>
        <item x="352"/>
        <item x="513"/>
        <item x="490"/>
        <item x="122"/>
        <item x="397"/>
        <item x="17"/>
        <item x="15"/>
        <item x="483"/>
        <item x="488"/>
        <item x="9"/>
        <item x="165"/>
        <item x="61"/>
        <item x="509"/>
        <item x="347"/>
        <item x="420"/>
        <item x="503"/>
        <item x="160"/>
        <item x="546"/>
        <item x="523"/>
        <item x="341"/>
        <item x="371"/>
        <item x="296"/>
        <item x="20"/>
        <item x="480"/>
        <item x="331"/>
        <item x="0"/>
        <item x="333"/>
        <item x="401"/>
        <item x="439"/>
        <item x="376"/>
        <item x="54"/>
        <item x="530"/>
        <item x="94"/>
        <item x="445"/>
        <item x="460"/>
        <item x="484"/>
        <item x="309"/>
        <item x="246"/>
        <item x="286"/>
        <item x="55"/>
        <item x="255"/>
        <item x="377"/>
        <item x="106"/>
        <item x="537"/>
        <item x="82"/>
        <item x="89"/>
        <item x="547"/>
        <item x="408"/>
        <item x="98"/>
        <item x="319"/>
        <item x="544"/>
        <item x="312"/>
        <item x="304"/>
        <item x="220"/>
        <item x="28"/>
        <item x="41"/>
        <item x="83"/>
        <item x="233"/>
        <item x="495"/>
        <item x="272"/>
        <item x="317"/>
        <item x="153"/>
        <item x="528"/>
        <item x="181"/>
        <item x="24"/>
        <item x="482"/>
        <item x="25"/>
        <item x="173"/>
        <item x="521"/>
        <item x="299"/>
        <item x="210"/>
        <item x="258"/>
        <item x="407"/>
        <item x="346"/>
        <item x="400"/>
        <item x="499"/>
        <item x="552"/>
        <item x="71"/>
        <item x="78"/>
        <item x="157"/>
        <item x="204"/>
        <item x="367"/>
        <item x="249"/>
        <item x="305"/>
        <item x="87"/>
        <item x="248"/>
        <item x="31"/>
        <item x="21"/>
        <item x="496"/>
        <item x="217"/>
        <item x="432"/>
        <item x="131"/>
        <item x="190"/>
        <item x="239"/>
        <item x="487"/>
        <item x="434"/>
        <item x="375"/>
        <item x="80"/>
        <item x="454"/>
        <item x="70"/>
        <item x="200"/>
        <item x="73"/>
        <item x="387"/>
        <item x="280"/>
        <item x="57"/>
        <item x="223"/>
        <item x="172"/>
        <item x="472"/>
        <item x="268"/>
        <item x="459"/>
        <item x="559"/>
        <item x="4"/>
        <item x="326"/>
        <item x="284"/>
        <item x="290"/>
        <item x="26"/>
        <item x="129"/>
        <item x="148"/>
        <item x="444"/>
        <item x="39"/>
        <item x="381"/>
        <item x="285"/>
        <item x="321"/>
        <item x="481"/>
        <item x="281"/>
        <item x="196"/>
        <item x="139"/>
        <item x="492"/>
        <item x="372"/>
        <item x="316"/>
        <item x="358"/>
        <item x="536"/>
        <item x="360"/>
        <item x="477"/>
        <item x="13"/>
        <item x="328"/>
        <item x="337"/>
        <item x="175"/>
        <item x="265"/>
        <item x="85"/>
        <item x="48"/>
        <item x="242"/>
        <item x="357"/>
        <item x="419"/>
        <item x="314"/>
        <item x="412"/>
        <item x="105"/>
        <item x="558"/>
        <item x="215"/>
        <item x="476"/>
        <item x="440"/>
        <item x="1"/>
        <item x="65"/>
        <item x="247"/>
        <item x="52"/>
        <item x="240"/>
        <item x="232"/>
        <item x="471"/>
        <item x="359"/>
        <item x="441"/>
        <item x="107"/>
        <item x="450"/>
        <item x="23"/>
        <item x="209"/>
        <item x="474"/>
        <item x="533"/>
        <item x="542"/>
        <item x="137"/>
        <item x="315"/>
        <item x="510"/>
        <item x="133"/>
        <item x="219"/>
        <item x="202"/>
        <item x="293"/>
        <item x="171"/>
        <item x="207"/>
        <item x="33"/>
        <item x="167"/>
        <item x="244"/>
        <item x="180"/>
        <item x="368"/>
        <item x="75"/>
        <item x="306"/>
        <item x="462"/>
        <item x="557"/>
        <item x="184"/>
        <item x="456"/>
        <item x="123"/>
        <item x="457"/>
        <item x="467"/>
        <item x="34"/>
        <item x="538"/>
        <item x="374"/>
        <item x="238"/>
        <item x="257"/>
        <item x="344"/>
        <item x="415"/>
        <item x="383"/>
        <item x="534"/>
        <item x="84"/>
        <item x="127"/>
        <item x="135"/>
        <item x="195"/>
        <item x="413"/>
        <item x="403"/>
        <item x="385"/>
        <item x="393"/>
        <item x="29"/>
        <item x="453"/>
        <item x="378"/>
        <item x="66"/>
        <item x="511"/>
        <item x="183"/>
        <item x="540"/>
        <item x="253"/>
        <item x="283"/>
        <item x="562"/>
        <item x="485"/>
        <item x="225"/>
        <item x="342"/>
        <item x="269"/>
        <item x="475"/>
        <item x="27"/>
        <item x="526"/>
        <item x="545"/>
        <item x="140"/>
        <item x="561"/>
        <item x="353"/>
        <item x="466"/>
        <item x="449"/>
        <item x="68"/>
        <item x="438"/>
        <item x="278"/>
        <item x="109"/>
        <item x="144"/>
        <item x="189"/>
        <item x="494"/>
        <item x="508"/>
        <item x="150"/>
        <item x="96"/>
        <item x="163"/>
        <item x="275"/>
        <item x="95"/>
        <item x="524"/>
        <item x="479"/>
        <item x="404"/>
        <item x="230"/>
        <item x="47"/>
        <item x="531"/>
        <item x="320"/>
        <item x="32"/>
        <item x="365"/>
        <item x="470"/>
        <item x="243"/>
        <item x="254"/>
        <item x="442"/>
        <item x="142"/>
        <item x="119"/>
        <item x="178"/>
        <item x="308"/>
        <item x="263"/>
        <item x="90"/>
        <item x="373"/>
        <item x="124"/>
        <item x="515"/>
        <item x="409"/>
        <item x="49"/>
        <item x="205"/>
        <item x="5"/>
        <item x="203"/>
        <item x="199"/>
        <item x="206"/>
        <item x="43"/>
        <item x="556"/>
        <item x="192"/>
        <item x="330"/>
        <item x="338"/>
        <item x="336"/>
        <item x="110"/>
        <item x="390"/>
        <item x="455"/>
        <item x="241"/>
        <item x="147"/>
        <item x="117"/>
        <item x="433"/>
        <item x="548"/>
        <item x="271"/>
        <item x="59"/>
        <item x="394"/>
        <item x="369"/>
        <item x="498"/>
        <item x="8"/>
        <item x="384"/>
        <item x="86"/>
        <item x="447"/>
        <item x="221"/>
        <item x="427"/>
        <item x="58"/>
        <item x="461"/>
        <item x="103"/>
        <item x="276"/>
        <item x="121"/>
        <item x="301"/>
        <item x="100"/>
        <item x="130"/>
        <item x="529"/>
        <item x="311"/>
        <item x="355"/>
        <item x="19"/>
        <item x="270"/>
        <item x="277"/>
        <item x="111"/>
        <item x="197"/>
        <item x="264"/>
        <item x="517"/>
        <item x="335"/>
        <item x="525"/>
        <item x="72"/>
        <item x="431"/>
        <item x="262"/>
        <item x="74"/>
        <item x="469"/>
        <item x="162"/>
        <item x="12"/>
        <item x="208"/>
        <item x="388"/>
        <item x="266"/>
        <item x="351"/>
        <item x="391"/>
        <item x="392"/>
        <item x="501"/>
        <item x="177"/>
        <item x="313"/>
        <item x="424"/>
        <item x="512"/>
        <item x="36"/>
        <item x="132"/>
        <item x="303"/>
        <item x="234"/>
        <item x="211"/>
        <item x="170"/>
        <item x="396"/>
        <item x="231"/>
        <item x="362"/>
        <item x="543"/>
        <item x="363"/>
        <item x="226"/>
        <item x="332"/>
        <item x="560"/>
        <item x="287"/>
        <item x="60"/>
        <item x="422"/>
        <item x="145"/>
        <item x="522"/>
        <item x="298"/>
        <item x="421"/>
        <item x="37"/>
        <item x="251"/>
        <item x="539"/>
        <item x="486"/>
        <item x="7"/>
        <item x="279"/>
        <item x="535"/>
        <item x="291"/>
        <item x="452"/>
        <item x="307"/>
        <item x="250"/>
        <item x="112"/>
        <item x="416"/>
        <item x="224"/>
        <item x="126"/>
        <item x="146"/>
        <item x="502"/>
        <item x="464"/>
        <item x="38"/>
        <item x="288"/>
        <item x="325"/>
        <item x="63"/>
        <item x="18"/>
        <item x="329"/>
        <item x="149"/>
        <item x="176"/>
        <item x="179"/>
        <item x="402"/>
        <item x="35"/>
        <item x="11"/>
        <item x="10"/>
        <item x="282"/>
        <item x="227"/>
        <item x="6"/>
        <item x="22"/>
        <item x="101"/>
        <item x="370"/>
        <item x="128"/>
        <item x="81"/>
        <item x="382"/>
        <item x="136"/>
        <item x="350"/>
        <item x="44"/>
        <item x="2"/>
        <item x="93"/>
        <item x="295"/>
        <item x="245"/>
        <item x="88"/>
        <item x="134"/>
        <item x="267"/>
        <item x="527"/>
        <item x="334"/>
        <item x="155"/>
        <item x="97"/>
        <item x="154"/>
        <item x="398"/>
        <item x="14"/>
        <item x="158"/>
        <item x="446"/>
        <item x="458"/>
        <item x="410"/>
        <item x="504"/>
        <item x="555"/>
        <item x="310"/>
        <item x="118"/>
        <item x="389"/>
        <item x="423"/>
        <item x="550"/>
        <item x="260"/>
        <item x="411"/>
        <item x="237"/>
        <item x="67"/>
        <item x="418"/>
        <item x="51"/>
        <item x="518"/>
        <item x="159"/>
        <item x="186"/>
        <item x="3"/>
        <item x="191"/>
        <item x="405"/>
        <item x="300"/>
        <item x="437"/>
        <item x="77"/>
        <item x="448"/>
        <item x="489"/>
        <item x="274"/>
        <item x="141"/>
        <item x="473"/>
        <item x="115"/>
        <item x="497"/>
        <item x="30"/>
        <item x="289"/>
        <item x="174"/>
        <item x="212"/>
        <item x="549"/>
        <item x="343"/>
        <item x="339"/>
        <item x="340"/>
        <item x="345"/>
        <item x="99"/>
        <item x="541"/>
        <item x="302"/>
        <item x="532"/>
        <item t="default"/>
      </items>
    </pivotField>
    <pivotField showAll="0">
      <items count="5">
        <item x="2"/>
        <item x="3"/>
        <item x="1"/>
        <item x="0"/>
        <item t="default"/>
      </items>
    </pivotField>
    <pivotField showAll="0"/>
    <pivotField showAll="0">
      <items count="11">
        <item h="1" x="7"/>
        <item h="1" x="4"/>
        <item x="3"/>
        <item x="8"/>
        <item x="1"/>
        <item x="2"/>
        <item x="0"/>
        <item h="1" x="9"/>
        <item h="1" x="6"/>
        <item h="1" x="5"/>
        <item t="default"/>
      </items>
    </pivotField>
    <pivotField showAll="0"/>
    <pivotField showAll="0"/>
    <pivotField dataField="1" showAll="0"/>
    <pivotField showAll="0"/>
    <pivotField showAll="0"/>
    <pivotField showAll="0"/>
    <pivotField axis="axisRow"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x="3"/>
        <item h="1" x="4"/>
        <item t="default"/>
      </items>
    </pivotField>
  </pivotFields>
  <rowFields count="1">
    <field x="12"/>
  </rowFields>
  <rowItems count="3">
    <i>
      <x/>
    </i>
    <i>
      <x v="1"/>
    </i>
    <i t="grand">
      <x/>
    </i>
  </rowItems>
  <colItems count="1">
    <i/>
  </colItems>
  <dataFields count="1">
    <dataField name="Sum of Sale_Amount_USD" fld="8" baseField="0" baseItem="0" numFmtId="164"/>
  </dataFields>
  <formats count="1">
    <format dxfId="810">
      <pivotArea outline="0" collapsedLevelsAreSubtotals="1" fieldPosition="0"/>
    </format>
  </formats>
  <chartFormats count="6">
    <chartFormat chart="0" format="3"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2" count="1" selected="0">
            <x v="0"/>
          </reference>
        </references>
      </pivotArea>
    </chartFormat>
    <chartFormat chart="0" format="5">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odel" xr10:uid="{9009A9B5-4FAD-40BE-A97A-5BE0704F3F3D}" sourceName="Car_Model">
  <pivotTables>
    <pivotTable tabId="11" name="PivotTable1"/>
    <pivotTable tabId="9" name="PivotTable1"/>
    <pivotTable tabId="7" name="PivotTable1"/>
    <pivotTable tabId="8" name="PivotTable1"/>
    <pivotTable tabId="10" name="PivotTable1"/>
  </pivotTables>
  <data>
    <tabular pivotCacheId="1474401219">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5B40B5C-E439-46C7-8EFC-5B8AF5F7A402}" sourceName="Years (Date)">
  <pivotTables>
    <pivotTable tabId="9" name="PivotTable1"/>
    <pivotTable tabId="7" name="PivotTable1"/>
    <pivotTable tabId="8" name="PivotTable1"/>
    <pivotTable tabId="10" name="PivotTable1"/>
    <pivotTable tabId="11" name="PivotTable1"/>
  </pivotTables>
  <data>
    <tabular pivotCacheId="1474401219">
      <items count="5">
        <i x="1" s="1"/>
        <i x="2" s="1"/>
        <i x="3" s="1"/>
        <i x="0"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50F723F-BCD0-45F9-94A0-737C1773C724}" sourceName="Country">
  <pivotTables>
    <pivotTable tabId="9" name="PivotTable1"/>
    <pivotTable tabId="7" name="PivotTable1"/>
    <pivotTable tabId="8" name="PivotTable1"/>
    <pivotTable tabId="10" name="PivotTable1"/>
    <pivotTable tabId="11" name="PivotTable1"/>
  </pivotTables>
  <data>
    <tabular pivotCacheId="1474401219">
      <items count="10">
        <i x="7"/>
        <i x="4"/>
        <i x="3" s="1"/>
        <i x="8" s="1"/>
        <i x="1" s="1"/>
        <i x="2" s="1"/>
        <i x="0" s="1"/>
        <i x="9"/>
        <i x="6"/>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_Model" xr10:uid="{FA5F2E8E-A3FD-47A7-8608-D3CC965149E2}" cache="Slicer_Car_Model" caption="Model" rowHeight="144000"/>
  <slicer name="Years (Date)" xr10:uid="{A64789F9-8794-4D19-8E71-8A7CD82BD891}" cache="Slicer_Years__Date" caption="Year" rowHeight="144000"/>
  <slicer name="Country" xr10:uid="{AB475B0E-C862-4873-92DF-87A85C8C4F68}" cache="Slicer_Country" caption="Country" startItem="2"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A9FAA0-0E82-4B91-9CB7-4CEDC1083831}" name="Table1" displayName="Table1" ref="A1:N1001" totalsRowShown="0">
  <autoFilter ref="A1:N1001" xr:uid="{ADA9FAA0-0E82-4B91-9CB7-4CEDC1083831}"/>
  <tableColumns count="14">
    <tableColumn id="1" xr3:uid="{2425FE5A-D4D0-470F-A131-FD88AF563F8D}" name="Sale_ID"/>
    <tableColumn id="2" xr3:uid="{309308CE-603E-4F25-B93D-82ED9D52D53C}" name="Customer_ID"/>
    <tableColumn id="3" xr3:uid="{4CDC86A3-5998-42ED-A7F6-D0D603823E91}" name="Date" dataDxfId="820"/>
    <tableColumn id="4" xr3:uid="{A83F03D8-5F90-4255-8A19-8CC5ABE29418}" name="Car_Model"/>
    <tableColumn id="5" xr3:uid="{8D0E612D-C16E-4523-BFF7-FB313BD07406}" name="Region"/>
    <tableColumn id="6" xr3:uid="{547A9D58-AFC8-4F7A-B875-890668D861BD}" name="Country"/>
    <tableColumn id="7" xr3:uid="{B748EB9C-C872-4DF5-BF78-F51378553CF1}" name="City"/>
    <tableColumn id="8" xr3:uid="{70F05338-B0C0-43B1-88C5-2D6A7B67045E}" name="Units_Sold"/>
    <tableColumn id="9" xr3:uid="{C654E445-93D8-486E-B2D8-D501618AF705}" name="Sale_Amount_USD"/>
    <tableColumn id="10" xr3:uid="{D1F1F36D-29A3-4D35-A8C4-8234FF3E8EDD}" name="Color"/>
    <tableColumn id="11" xr3:uid="{1FAEC866-2AEF-4AC9-873D-05C2CF11B512}" name="Battery_Type"/>
    <tableColumn id="12" xr3:uid="{EAA901F4-3E59-4758-8C2B-519D3A9EBC4D}" name="Delivery_Time_Days"/>
    <tableColumn id="13" xr3:uid="{844BBE98-29DC-49C3-BEBD-71CBCD5DAF47}" name="Customer_Type"/>
    <tableColumn id="14" xr3:uid="{05AAC4DB-51FD-445D-B5E6-C00D42DF831C}" name="Dealer_Name"/>
  </tableColumns>
  <tableStyleInfo name="TableStyleMedium2" showFirstColumn="0" showLastColumn="0" showRowStripes="1" showColumnStripes="0"/>
</table>
</file>

<file path=xl/theme/theme1.xml><?xml version="1.0" encoding="utf-8"?>
<a:theme xmlns:a="http://schemas.openxmlformats.org/drawingml/2006/main" name="Metropolitan">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5A16-640A-4389-8F69-E8740A1D54B5}">
  <dimension ref="A1:N1001"/>
  <sheetViews>
    <sheetView zoomScale="80" zoomScaleNormal="80" workbookViewId="0">
      <selection activeCell="F16" sqref="F16"/>
    </sheetView>
  </sheetViews>
  <sheetFormatPr defaultRowHeight="14.5" x14ac:dyDescent="0.35"/>
  <cols>
    <col min="1" max="1" width="9.08984375" customWidth="1"/>
    <col min="2" max="2" width="13.6328125" customWidth="1"/>
    <col min="3" max="3" width="10.08984375" customWidth="1"/>
    <col min="4" max="4" width="11.6328125" customWidth="1"/>
    <col min="5" max="5" width="12.453125" customWidth="1"/>
    <col min="6" max="6" width="9.453125" customWidth="1"/>
    <col min="7" max="7" width="12.1796875" customWidth="1"/>
    <col min="8" max="8" width="11.81640625" customWidth="1"/>
    <col min="9" max="9" width="18.26953125" customWidth="1"/>
    <col min="10" max="10" width="7.26953125" customWidth="1"/>
    <col min="11" max="11" width="13.54296875" customWidth="1"/>
    <col min="12" max="12" width="19.453125" customWidth="1"/>
    <col min="13" max="13" width="15.7265625" customWidth="1"/>
    <col min="14" max="14" width="34.453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s="1">
        <v>45219</v>
      </c>
      <c r="D2" t="s">
        <v>16</v>
      </c>
      <c r="E2" t="s">
        <v>17</v>
      </c>
      <c r="F2" t="s">
        <v>18</v>
      </c>
      <c r="G2" t="s">
        <v>19</v>
      </c>
      <c r="H2">
        <v>1</v>
      </c>
      <c r="I2">
        <v>120000</v>
      </c>
      <c r="J2" t="s">
        <v>20</v>
      </c>
      <c r="K2" t="s">
        <v>21</v>
      </c>
      <c r="L2">
        <v>46</v>
      </c>
      <c r="M2" t="s">
        <v>22</v>
      </c>
      <c r="N2" t="s">
        <v>23</v>
      </c>
    </row>
    <row r="3" spans="1:14" x14ac:dyDescent="0.35">
      <c r="A3" t="s">
        <v>24</v>
      </c>
      <c r="B3" t="s">
        <v>25</v>
      </c>
      <c r="C3" s="1">
        <v>45378</v>
      </c>
      <c r="D3" t="s">
        <v>16</v>
      </c>
      <c r="E3" t="s">
        <v>17</v>
      </c>
      <c r="F3" t="s">
        <v>26</v>
      </c>
      <c r="G3" t="s">
        <v>27</v>
      </c>
      <c r="H3">
        <v>1</v>
      </c>
      <c r="I3">
        <v>100000</v>
      </c>
      <c r="J3" t="s">
        <v>28</v>
      </c>
      <c r="K3" t="s">
        <v>29</v>
      </c>
      <c r="L3">
        <v>49</v>
      </c>
      <c r="M3" t="s">
        <v>30</v>
      </c>
      <c r="N3" t="s">
        <v>31</v>
      </c>
    </row>
    <row r="4" spans="1:14" x14ac:dyDescent="0.35">
      <c r="A4" t="s">
        <v>32</v>
      </c>
      <c r="B4" t="s">
        <v>33</v>
      </c>
      <c r="C4" s="1">
        <v>45698</v>
      </c>
      <c r="D4" t="s">
        <v>16</v>
      </c>
      <c r="E4" t="s">
        <v>34</v>
      </c>
      <c r="F4" t="s">
        <v>26</v>
      </c>
      <c r="G4" t="s">
        <v>35</v>
      </c>
      <c r="H4">
        <v>1</v>
      </c>
      <c r="I4">
        <v>120000</v>
      </c>
      <c r="J4" t="s">
        <v>28</v>
      </c>
      <c r="K4" t="s">
        <v>21</v>
      </c>
      <c r="L4">
        <v>54</v>
      </c>
      <c r="M4" t="s">
        <v>22</v>
      </c>
      <c r="N4" t="s">
        <v>36</v>
      </c>
    </row>
    <row r="5" spans="1:14" x14ac:dyDescent="0.35">
      <c r="A5" t="s">
        <v>37</v>
      </c>
      <c r="B5" t="s">
        <v>38</v>
      </c>
      <c r="C5" s="1">
        <v>45741</v>
      </c>
      <c r="D5" t="s">
        <v>16</v>
      </c>
      <c r="E5" t="s">
        <v>34</v>
      </c>
      <c r="F5" t="s">
        <v>39</v>
      </c>
      <c r="G5" t="s">
        <v>40</v>
      </c>
      <c r="H5">
        <v>2</v>
      </c>
      <c r="I5">
        <v>280000</v>
      </c>
      <c r="J5" t="s">
        <v>20</v>
      </c>
      <c r="K5" t="s">
        <v>41</v>
      </c>
      <c r="L5">
        <v>20</v>
      </c>
      <c r="M5" t="s">
        <v>22</v>
      </c>
      <c r="N5" t="s">
        <v>42</v>
      </c>
    </row>
    <row r="6" spans="1:14" x14ac:dyDescent="0.35">
      <c r="A6" t="s">
        <v>43</v>
      </c>
      <c r="B6" t="s">
        <v>44</v>
      </c>
      <c r="C6" s="1">
        <v>45323</v>
      </c>
      <c r="D6" t="s">
        <v>45</v>
      </c>
      <c r="E6" t="s">
        <v>17</v>
      </c>
      <c r="F6" t="s">
        <v>18</v>
      </c>
      <c r="G6" t="s">
        <v>19</v>
      </c>
      <c r="H6">
        <v>3</v>
      </c>
      <c r="I6">
        <v>324000</v>
      </c>
      <c r="J6" t="s">
        <v>46</v>
      </c>
      <c r="K6" t="s">
        <v>21</v>
      </c>
      <c r="L6">
        <v>19</v>
      </c>
      <c r="M6" t="s">
        <v>30</v>
      </c>
      <c r="N6" t="s">
        <v>47</v>
      </c>
    </row>
    <row r="7" spans="1:14" x14ac:dyDescent="0.35">
      <c r="A7" t="s">
        <v>48</v>
      </c>
      <c r="B7" t="s">
        <v>49</v>
      </c>
      <c r="C7" s="1">
        <v>45537</v>
      </c>
      <c r="D7" t="s">
        <v>45</v>
      </c>
      <c r="E7" t="s">
        <v>34</v>
      </c>
      <c r="F7" t="s">
        <v>50</v>
      </c>
      <c r="G7" t="s">
        <v>51</v>
      </c>
      <c r="H7">
        <v>3</v>
      </c>
      <c r="I7">
        <v>324000</v>
      </c>
      <c r="J7" t="s">
        <v>28</v>
      </c>
      <c r="K7" t="s">
        <v>21</v>
      </c>
      <c r="L7">
        <v>37</v>
      </c>
      <c r="M7" t="s">
        <v>22</v>
      </c>
      <c r="N7" t="s">
        <v>52</v>
      </c>
    </row>
    <row r="8" spans="1:14" x14ac:dyDescent="0.35">
      <c r="A8" t="s">
        <v>53</v>
      </c>
      <c r="B8" t="s">
        <v>54</v>
      </c>
      <c r="C8" s="1">
        <v>45685</v>
      </c>
      <c r="D8" t="s">
        <v>45</v>
      </c>
      <c r="E8" t="s">
        <v>55</v>
      </c>
      <c r="F8" t="s">
        <v>56</v>
      </c>
      <c r="G8" t="s">
        <v>57</v>
      </c>
      <c r="H8">
        <v>5</v>
      </c>
      <c r="I8">
        <v>450000</v>
      </c>
      <c r="J8" t="s">
        <v>46</v>
      </c>
      <c r="K8" t="s">
        <v>29</v>
      </c>
      <c r="L8">
        <v>45</v>
      </c>
      <c r="M8" t="s">
        <v>30</v>
      </c>
      <c r="N8" t="s">
        <v>58</v>
      </c>
    </row>
    <row r="9" spans="1:14" x14ac:dyDescent="0.35">
      <c r="A9" t="s">
        <v>59</v>
      </c>
      <c r="B9" t="s">
        <v>60</v>
      </c>
      <c r="C9" s="1">
        <v>45651</v>
      </c>
      <c r="D9" t="s">
        <v>45</v>
      </c>
      <c r="E9" t="s">
        <v>55</v>
      </c>
      <c r="F9" t="s">
        <v>61</v>
      </c>
      <c r="G9" t="s">
        <v>62</v>
      </c>
      <c r="H9">
        <v>2</v>
      </c>
      <c r="I9">
        <v>252000</v>
      </c>
      <c r="J9" t="s">
        <v>20</v>
      </c>
      <c r="K9" t="s">
        <v>41</v>
      </c>
      <c r="L9">
        <v>34</v>
      </c>
      <c r="M9" t="s">
        <v>22</v>
      </c>
      <c r="N9" t="s">
        <v>63</v>
      </c>
    </row>
    <row r="10" spans="1:14" x14ac:dyDescent="0.35">
      <c r="A10" t="s">
        <v>64</v>
      </c>
      <c r="B10" t="s">
        <v>65</v>
      </c>
      <c r="C10" s="1">
        <v>45562</v>
      </c>
      <c r="D10" t="s">
        <v>66</v>
      </c>
      <c r="E10" t="s">
        <v>55</v>
      </c>
      <c r="F10" t="s">
        <v>67</v>
      </c>
      <c r="G10" t="s">
        <v>68</v>
      </c>
      <c r="H10">
        <v>2</v>
      </c>
      <c r="I10">
        <v>144000</v>
      </c>
      <c r="J10" t="s">
        <v>46</v>
      </c>
      <c r="K10" t="s">
        <v>21</v>
      </c>
      <c r="L10">
        <v>31</v>
      </c>
      <c r="M10" t="s">
        <v>22</v>
      </c>
      <c r="N10" t="s">
        <v>69</v>
      </c>
    </row>
    <row r="11" spans="1:14" x14ac:dyDescent="0.35">
      <c r="A11" t="s">
        <v>70</v>
      </c>
      <c r="B11" t="s">
        <v>71</v>
      </c>
      <c r="C11" s="1">
        <v>45196</v>
      </c>
      <c r="D11" t="s">
        <v>72</v>
      </c>
      <c r="E11" t="s">
        <v>17</v>
      </c>
      <c r="F11" t="s">
        <v>50</v>
      </c>
      <c r="G11" t="s">
        <v>73</v>
      </c>
      <c r="H11">
        <v>3</v>
      </c>
      <c r="I11">
        <v>162000</v>
      </c>
      <c r="J11" t="s">
        <v>46</v>
      </c>
      <c r="K11" t="s">
        <v>21</v>
      </c>
      <c r="L11">
        <v>18</v>
      </c>
      <c r="M11" t="s">
        <v>30</v>
      </c>
      <c r="N11" t="s">
        <v>74</v>
      </c>
    </row>
    <row r="12" spans="1:14" x14ac:dyDescent="0.35">
      <c r="A12" t="s">
        <v>75</v>
      </c>
      <c r="B12" t="s">
        <v>76</v>
      </c>
      <c r="C12" s="1">
        <v>45682</v>
      </c>
      <c r="D12" t="s">
        <v>72</v>
      </c>
      <c r="E12" t="s">
        <v>34</v>
      </c>
      <c r="F12" t="s">
        <v>77</v>
      </c>
      <c r="G12" t="s">
        <v>78</v>
      </c>
      <c r="H12">
        <v>1</v>
      </c>
      <c r="I12">
        <v>54000</v>
      </c>
      <c r="J12" t="s">
        <v>28</v>
      </c>
      <c r="K12" t="s">
        <v>21</v>
      </c>
      <c r="L12">
        <v>48</v>
      </c>
      <c r="M12" t="s">
        <v>30</v>
      </c>
      <c r="N12" t="s">
        <v>79</v>
      </c>
    </row>
    <row r="13" spans="1:14" x14ac:dyDescent="0.35">
      <c r="A13" t="s">
        <v>80</v>
      </c>
      <c r="B13" t="s">
        <v>81</v>
      </c>
      <c r="C13" s="1">
        <v>45681</v>
      </c>
      <c r="D13" t="s">
        <v>66</v>
      </c>
      <c r="E13" t="s">
        <v>17</v>
      </c>
      <c r="F13" t="s">
        <v>39</v>
      </c>
      <c r="G13" t="s">
        <v>82</v>
      </c>
      <c r="H13">
        <v>5</v>
      </c>
      <c r="I13">
        <v>360000</v>
      </c>
      <c r="J13" t="s">
        <v>83</v>
      </c>
      <c r="K13" t="s">
        <v>21</v>
      </c>
      <c r="L13">
        <v>9</v>
      </c>
      <c r="M13" t="s">
        <v>22</v>
      </c>
      <c r="N13" t="s">
        <v>84</v>
      </c>
    </row>
    <row r="14" spans="1:14" x14ac:dyDescent="0.35">
      <c r="A14" t="s">
        <v>85</v>
      </c>
      <c r="B14" t="s">
        <v>86</v>
      </c>
      <c r="C14" s="1">
        <v>45604</v>
      </c>
      <c r="D14" t="s">
        <v>72</v>
      </c>
      <c r="E14" t="s">
        <v>55</v>
      </c>
      <c r="F14" t="s">
        <v>26</v>
      </c>
      <c r="G14" t="s">
        <v>87</v>
      </c>
      <c r="H14">
        <v>1</v>
      </c>
      <c r="I14">
        <v>54000</v>
      </c>
      <c r="J14" t="s">
        <v>28</v>
      </c>
      <c r="K14" t="s">
        <v>21</v>
      </c>
      <c r="L14">
        <v>31</v>
      </c>
      <c r="M14" t="s">
        <v>22</v>
      </c>
      <c r="N14" t="s">
        <v>88</v>
      </c>
    </row>
    <row r="15" spans="1:14" x14ac:dyDescent="0.35">
      <c r="A15" t="s">
        <v>89</v>
      </c>
      <c r="B15" t="s">
        <v>90</v>
      </c>
      <c r="C15" s="1">
        <v>45354</v>
      </c>
      <c r="D15" t="s">
        <v>72</v>
      </c>
      <c r="E15" t="s">
        <v>17</v>
      </c>
      <c r="F15" t="s">
        <v>77</v>
      </c>
      <c r="G15" t="s">
        <v>91</v>
      </c>
      <c r="H15">
        <v>4</v>
      </c>
      <c r="I15">
        <v>180000</v>
      </c>
      <c r="J15" t="s">
        <v>46</v>
      </c>
      <c r="K15" t="s">
        <v>29</v>
      </c>
      <c r="L15">
        <v>51</v>
      </c>
      <c r="M15" t="s">
        <v>30</v>
      </c>
      <c r="N15" t="s">
        <v>92</v>
      </c>
    </row>
    <row r="16" spans="1:14" x14ac:dyDescent="0.35">
      <c r="A16" t="s">
        <v>93</v>
      </c>
      <c r="B16" t="s">
        <v>94</v>
      </c>
      <c r="C16" s="1">
        <v>45714</v>
      </c>
      <c r="D16" t="s">
        <v>45</v>
      </c>
      <c r="E16" t="s">
        <v>34</v>
      </c>
      <c r="F16" t="s">
        <v>61</v>
      </c>
      <c r="G16" t="s">
        <v>95</v>
      </c>
      <c r="H16">
        <v>2</v>
      </c>
      <c r="I16">
        <v>252000</v>
      </c>
      <c r="J16" t="s">
        <v>28</v>
      </c>
      <c r="K16" t="s">
        <v>41</v>
      </c>
      <c r="L16">
        <v>36</v>
      </c>
      <c r="M16" t="s">
        <v>22</v>
      </c>
      <c r="N16" t="s">
        <v>96</v>
      </c>
    </row>
    <row r="17" spans="1:14" x14ac:dyDescent="0.35">
      <c r="A17" t="s">
        <v>97</v>
      </c>
      <c r="B17" t="s">
        <v>98</v>
      </c>
      <c r="C17" s="1">
        <v>45193</v>
      </c>
      <c r="D17" t="s">
        <v>16</v>
      </c>
      <c r="E17" t="s">
        <v>17</v>
      </c>
      <c r="F17" t="s">
        <v>61</v>
      </c>
      <c r="G17" t="s">
        <v>99</v>
      </c>
      <c r="H17">
        <v>3</v>
      </c>
      <c r="I17">
        <v>360000</v>
      </c>
      <c r="J17" t="s">
        <v>28</v>
      </c>
      <c r="K17" t="s">
        <v>21</v>
      </c>
      <c r="L17">
        <v>8</v>
      </c>
      <c r="M17" t="s">
        <v>30</v>
      </c>
      <c r="N17" t="s">
        <v>100</v>
      </c>
    </row>
    <row r="18" spans="1:14" x14ac:dyDescent="0.35">
      <c r="A18" t="s">
        <v>101</v>
      </c>
      <c r="B18" t="s">
        <v>102</v>
      </c>
      <c r="C18" s="1">
        <v>45051</v>
      </c>
      <c r="D18" t="s">
        <v>72</v>
      </c>
      <c r="E18" t="s">
        <v>55</v>
      </c>
      <c r="F18" t="s">
        <v>18</v>
      </c>
      <c r="G18" t="s">
        <v>103</v>
      </c>
      <c r="H18">
        <v>1</v>
      </c>
      <c r="I18">
        <v>45000</v>
      </c>
      <c r="J18" t="s">
        <v>46</v>
      </c>
      <c r="K18" t="s">
        <v>29</v>
      </c>
      <c r="L18">
        <v>27</v>
      </c>
      <c r="M18" t="s">
        <v>22</v>
      </c>
      <c r="N18" t="s">
        <v>104</v>
      </c>
    </row>
    <row r="19" spans="1:14" x14ac:dyDescent="0.35">
      <c r="A19" t="s">
        <v>105</v>
      </c>
      <c r="B19" t="s">
        <v>106</v>
      </c>
      <c r="C19" s="1">
        <v>45192</v>
      </c>
      <c r="D19" t="s">
        <v>45</v>
      </c>
      <c r="E19" t="s">
        <v>55</v>
      </c>
      <c r="F19" t="s">
        <v>50</v>
      </c>
      <c r="G19" t="s">
        <v>107</v>
      </c>
      <c r="H19">
        <v>5</v>
      </c>
      <c r="I19">
        <v>450000</v>
      </c>
      <c r="J19" t="s">
        <v>108</v>
      </c>
      <c r="K19" t="s">
        <v>29</v>
      </c>
      <c r="L19">
        <v>53</v>
      </c>
      <c r="M19" t="s">
        <v>30</v>
      </c>
      <c r="N19" t="s">
        <v>109</v>
      </c>
    </row>
    <row r="20" spans="1:14" x14ac:dyDescent="0.35">
      <c r="A20" t="s">
        <v>110</v>
      </c>
      <c r="B20" t="s">
        <v>111</v>
      </c>
      <c r="C20" s="1">
        <v>45671</v>
      </c>
      <c r="D20" t="s">
        <v>72</v>
      </c>
      <c r="E20" t="s">
        <v>17</v>
      </c>
      <c r="F20" t="s">
        <v>67</v>
      </c>
      <c r="G20" t="s">
        <v>112</v>
      </c>
      <c r="H20">
        <v>5</v>
      </c>
      <c r="I20">
        <v>315000</v>
      </c>
      <c r="J20" t="s">
        <v>46</v>
      </c>
      <c r="K20" t="s">
        <v>41</v>
      </c>
      <c r="L20">
        <v>37</v>
      </c>
      <c r="M20" t="s">
        <v>22</v>
      </c>
      <c r="N20" t="s">
        <v>113</v>
      </c>
    </row>
    <row r="21" spans="1:14" x14ac:dyDescent="0.35">
      <c r="A21" t="s">
        <v>114</v>
      </c>
      <c r="B21" t="s">
        <v>115</v>
      </c>
      <c r="C21" s="1">
        <v>45585</v>
      </c>
      <c r="D21" t="s">
        <v>72</v>
      </c>
      <c r="E21" t="s">
        <v>55</v>
      </c>
      <c r="F21" t="s">
        <v>56</v>
      </c>
      <c r="G21" t="s">
        <v>116</v>
      </c>
      <c r="H21">
        <v>5</v>
      </c>
      <c r="I21">
        <v>270000</v>
      </c>
      <c r="J21" t="s">
        <v>83</v>
      </c>
      <c r="K21" t="s">
        <v>21</v>
      </c>
      <c r="L21">
        <v>54</v>
      </c>
      <c r="M21" t="s">
        <v>22</v>
      </c>
      <c r="N21" t="s">
        <v>117</v>
      </c>
    </row>
    <row r="22" spans="1:14" x14ac:dyDescent="0.35">
      <c r="A22" t="s">
        <v>118</v>
      </c>
      <c r="B22" t="s">
        <v>119</v>
      </c>
      <c r="C22" s="1">
        <v>45215</v>
      </c>
      <c r="D22" t="s">
        <v>45</v>
      </c>
      <c r="E22" t="s">
        <v>34</v>
      </c>
      <c r="F22" t="s">
        <v>67</v>
      </c>
      <c r="G22" t="s">
        <v>120</v>
      </c>
      <c r="H22">
        <v>3</v>
      </c>
      <c r="I22">
        <v>324000</v>
      </c>
      <c r="J22" t="s">
        <v>20</v>
      </c>
      <c r="K22" t="s">
        <v>21</v>
      </c>
      <c r="L22">
        <v>8</v>
      </c>
      <c r="M22" t="s">
        <v>22</v>
      </c>
      <c r="N22" t="s">
        <v>121</v>
      </c>
    </row>
    <row r="23" spans="1:14" x14ac:dyDescent="0.35">
      <c r="A23" t="s">
        <v>122</v>
      </c>
      <c r="B23" t="s">
        <v>123</v>
      </c>
      <c r="C23" s="1">
        <v>45293</v>
      </c>
      <c r="D23" t="s">
        <v>66</v>
      </c>
      <c r="E23" t="s">
        <v>17</v>
      </c>
      <c r="F23" t="s">
        <v>26</v>
      </c>
      <c r="G23" t="s">
        <v>124</v>
      </c>
      <c r="H23">
        <v>3</v>
      </c>
      <c r="I23">
        <v>216000</v>
      </c>
      <c r="J23" t="s">
        <v>83</v>
      </c>
      <c r="K23" t="s">
        <v>21</v>
      </c>
      <c r="L23">
        <v>45</v>
      </c>
      <c r="M23" t="s">
        <v>22</v>
      </c>
      <c r="N23" t="s">
        <v>125</v>
      </c>
    </row>
    <row r="24" spans="1:14" x14ac:dyDescent="0.35">
      <c r="A24" t="s">
        <v>126</v>
      </c>
      <c r="B24" t="s">
        <v>127</v>
      </c>
      <c r="C24" s="1">
        <v>45686</v>
      </c>
      <c r="D24" t="s">
        <v>16</v>
      </c>
      <c r="E24" t="s">
        <v>17</v>
      </c>
      <c r="F24" t="s">
        <v>67</v>
      </c>
      <c r="G24" t="s">
        <v>128</v>
      </c>
      <c r="H24">
        <v>4</v>
      </c>
      <c r="I24">
        <v>480000</v>
      </c>
      <c r="J24" t="s">
        <v>46</v>
      </c>
      <c r="K24" t="s">
        <v>21</v>
      </c>
      <c r="L24">
        <v>31</v>
      </c>
      <c r="M24" t="s">
        <v>30</v>
      </c>
      <c r="N24" t="s">
        <v>129</v>
      </c>
    </row>
    <row r="25" spans="1:14" x14ac:dyDescent="0.35">
      <c r="A25" t="s">
        <v>130</v>
      </c>
      <c r="B25" t="s">
        <v>131</v>
      </c>
      <c r="C25" s="1">
        <v>45394</v>
      </c>
      <c r="D25" t="s">
        <v>16</v>
      </c>
      <c r="E25" t="s">
        <v>17</v>
      </c>
      <c r="F25" t="s">
        <v>50</v>
      </c>
      <c r="G25" t="s">
        <v>132</v>
      </c>
      <c r="H25">
        <v>2</v>
      </c>
      <c r="I25">
        <v>280000</v>
      </c>
      <c r="J25" t="s">
        <v>83</v>
      </c>
      <c r="K25" t="s">
        <v>41</v>
      </c>
      <c r="L25">
        <v>49</v>
      </c>
      <c r="M25" t="s">
        <v>22</v>
      </c>
      <c r="N25" t="s">
        <v>133</v>
      </c>
    </row>
    <row r="26" spans="1:14" x14ac:dyDescent="0.35">
      <c r="A26" t="s">
        <v>134</v>
      </c>
      <c r="B26" t="s">
        <v>135</v>
      </c>
      <c r="C26" s="1">
        <v>45266</v>
      </c>
      <c r="D26" t="s">
        <v>45</v>
      </c>
      <c r="E26" t="s">
        <v>55</v>
      </c>
      <c r="F26" t="s">
        <v>77</v>
      </c>
      <c r="G26" t="s">
        <v>136</v>
      </c>
      <c r="H26">
        <v>4</v>
      </c>
      <c r="I26">
        <v>504000</v>
      </c>
      <c r="J26" t="s">
        <v>28</v>
      </c>
      <c r="K26" t="s">
        <v>41</v>
      </c>
      <c r="L26">
        <v>23</v>
      </c>
      <c r="M26" t="s">
        <v>30</v>
      </c>
      <c r="N26" t="s">
        <v>137</v>
      </c>
    </row>
    <row r="27" spans="1:14" x14ac:dyDescent="0.35">
      <c r="A27" t="s">
        <v>138</v>
      </c>
      <c r="B27" t="s">
        <v>139</v>
      </c>
      <c r="C27" s="1">
        <v>45268</v>
      </c>
      <c r="D27" t="s">
        <v>66</v>
      </c>
      <c r="E27" t="s">
        <v>34</v>
      </c>
      <c r="F27" t="s">
        <v>39</v>
      </c>
      <c r="G27" t="s">
        <v>140</v>
      </c>
      <c r="H27">
        <v>4</v>
      </c>
      <c r="I27">
        <v>240000</v>
      </c>
      <c r="J27" t="s">
        <v>46</v>
      </c>
      <c r="K27" t="s">
        <v>29</v>
      </c>
      <c r="L27">
        <v>27</v>
      </c>
      <c r="M27" t="s">
        <v>22</v>
      </c>
      <c r="N27" t="s">
        <v>141</v>
      </c>
    </row>
    <row r="28" spans="1:14" x14ac:dyDescent="0.35">
      <c r="A28" t="s">
        <v>142</v>
      </c>
      <c r="B28" t="s">
        <v>143</v>
      </c>
      <c r="C28" s="1">
        <v>45328</v>
      </c>
      <c r="D28" t="s">
        <v>16</v>
      </c>
      <c r="E28" t="s">
        <v>17</v>
      </c>
      <c r="F28" t="s">
        <v>56</v>
      </c>
      <c r="G28" t="s">
        <v>144</v>
      </c>
      <c r="H28">
        <v>1</v>
      </c>
      <c r="I28">
        <v>100000</v>
      </c>
      <c r="J28" t="s">
        <v>28</v>
      </c>
      <c r="K28" t="s">
        <v>29</v>
      </c>
      <c r="L28">
        <v>60</v>
      </c>
      <c r="M28" t="s">
        <v>30</v>
      </c>
      <c r="N28" t="s">
        <v>145</v>
      </c>
    </row>
    <row r="29" spans="1:14" x14ac:dyDescent="0.35">
      <c r="A29" t="s">
        <v>146</v>
      </c>
      <c r="B29" t="s">
        <v>147</v>
      </c>
      <c r="C29" s="1">
        <v>45472</v>
      </c>
      <c r="D29" t="s">
        <v>45</v>
      </c>
      <c r="E29" t="s">
        <v>55</v>
      </c>
      <c r="F29" t="s">
        <v>50</v>
      </c>
      <c r="G29" t="s">
        <v>148</v>
      </c>
      <c r="H29">
        <v>3</v>
      </c>
      <c r="I29">
        <v>270000</v>
      </c>
      <c r="J29" t="s">
        <v>108</v>
      </c>
      <c r="K29" t="s">
        <v>29</v>
      </c>
      <c r="L29">
        <v>29</v>
      </c>
      <c r="M29" t="s">
        <v>22</v>
      </c>
      <c r="N29" t="s">
        <v>149</v>
      </c>
    </row>
    <row r="30" spans="1:14" x14ac:dyDescent="0.35">
      <c r="A30" t="s">
        <v>150</v>
      </c>
      <c r="B30" t="s">
        <v>151</v>
      </c>
      <c r="C30" s="1">
        <v>45255</v>
      </c>
      <c r="D30" t="s">
        <v>72</v>
      </c>
      <c r="E30" t="s">
        <v>17</v>
      </c>
      <c r="F30" t="s">
        <v>56</v>
      </c>
      <c r="G30" t="s">
        <v>152</v>
      </c>
      <c r="H30">
        <v>4</v>
      </c>
      <c r="I30">
        <v>216000</v>
      </c>
      <c r="J30" t="s">
        <v>46</v>
      </c>
      <c r="K30" t="s">
        <v>21</v>
      </c>
      <c r="L30">
        <v>49</v>
      </c>
      <c r="M30" t="s">
        <v>30</v>
      </c>
      <c r="N30" t="s">
        <v>153</v>
      </c>
    </row>
    <row r="31" spans="1:14" x14ac:dyDescent="0.35">
      <c r="A31" t="s">
        <v>154</v>
      </c>
      <c r="B31" t="s">
        <v>155</v>
      </c>
      <c r="C31" s="1">
        <v>45453</v>
      </c>
      <c r="D31" t="s">
        <v>66</v>
      </c>
      <c r="E31" t="s">
        <v>34</v>
      </c>
      <c r="F31" t="s">
        <v>61</v>
      </c>
      <c r="G31" t="s">
        <v>156</v>
      </c>
      <c r="H31">
        <v>4</v>
      </c>
      <c r="I31">
        <v>288000</v>
      </c>
      <c r="J31" t="s">
        <v>20</v>
      </c>
      <c r="K31" t="s">
        <v>21</v>
      </c>
      <c r="L31">
        <v>26</v>
      </c>
      <c r="M31" t="s">
        <v>30</v>
      </c>
      <c r="N31" t="s">
        <v>157</v>
      </c>
    </row>
    <row r="32" spans="1:14" x14ac:dyDescent="0.35">
      <c r="A32" t="s">
        <v>158</v>
      </c>
      <c r="B32" t="s">
        <v>159</v>
      </c>
      <c r="C32" s="1">
        <v>45759</v>
      </c>
      <c r="D32" t="s">
        <v>16</v>
      </c>
      <c r="E32" t="s">
        <v>17</v>
      </c>
      <c r="F32" t="s">
        <v>56</v>
      </c>
      <c r="G32" t="s">
        <v>116</v>
      </c>
      <c r="H32">
        <v>4</v>
      </c>
      <c r="I32">
        <v>400000</v>
      </c>
      <c r="J32" t="s">
        <v>83</v>
      </c>
      <c r="K32" t="s">
        <v>29</v>
      </c>
      <c r="L32">
        <v>59</v>
      </c>
      <c r="M32" t="s">
        <v>30</v>
      </c>
      <c r="N32" t="s">
        <v>160</v>
      </c>
    </row>
    <row r="33" spans="1:14" x14ac:dyDescent="0.35">
      <c r="A33" t="s">
        <v>161</v>
      </c>
      <c r="B33" t="s">
        <v>162</v>
      </c>
      <c r="C33" s="1">
        <v>45292</v>
      </c>
      <c r="D33" t="s">
        <v>66</v>
      </c>
      <c r="E33" t="s">
        <v>34</v>
      </c>
      <c r="F33" t="s">
        <v>163</v>
      </c>
      <c r="G33" t="s">
        <v>164</v>
      </c>
      <c r="H33">
        <v>5</v>
      </c>
      <c r="I33">
        <v>300000</v>
      </c>
      <c r="J33" t="s">
        <v>83</v>
      </c>
      <c r="K33" t="s">
        <v>29</v>
      </c>
      <c r="L33">
        <v>42</v>
      </c>
      <c r="M33" t="s">
        <v>22</v>
      </c>
      <c r="N33" t="s">
        <v>165</v>
      </c>
    </row>
    <row r="34" spans="1:14" x14ac:dyDescent="0.35">
      <c r="A34" t="s">
        <v>166</v>
      </c>
      <c r="B34" t="s">
        <v>167</v>
      </c>
      <c r="C34" s="1">
        <v>45511</v>
      </c>
      <c r="D34" t="s">
        <v>72</v>
      </c>
      <c r="E34" t="s">
        <v>34</v>
      </c>
      <c r="F34" t="s">
        <v>77</v>
      </c>
      <c r="G34" t="s">
        <v>168</v>
      </c>
      <c r="H34">
        <v>3</v>
      </c>
      <c r="I34">
        <v>135000</v>
      </c>
      <c r="J34" t="s">
        <v>108</v>
      </c>
      <c r="K34" t="s">
        <v>29</v>
      </c>
      <c r="L34">
        <v>17</v>
      </c>
      <c r="M34" t="s">
        <v>22</v>
      </c>
      <c r="N34" t="s">
        <v>169</v>
      </c>
    </row>
    <row r="35" spans="1:14" x14ac:dyDescent="0.35">
      <c r="A35" t="s">
        <v>170</v>
      </c>
      <c r="B35" t="s">
        <v>171</v>
      </c>
      <c r="C35" s="1">
        <v>45415</v>
      </c>
      <c r="D35" t="s">
        <v>45</v>
      </c>
      <c r="E35" t="s">
        <v>34</v>
      </c>
      <c r="F35" t="s">
        <v>56</v>
      </c>
      <c r="G35" t="s">
        <v>144</v>
      </c>
      <c r="H35">
        <v>4</v>
      </c>
      <c r="I35">
        <v>432000</v>
      </c>
      <c r="J35" t="s">
        <v>108</v>
      </c>
      <c r="K35" t="s">
        <v>21</v>
      </c>
      <c r="L35">
        <v>10</v>
      </c>
      <c r="M35" t="s">
        <v>22</v>
      </c>
      <c r="N35" t="s">
        <v>172</v>
      </c>
    </row>
    <row r="36" spans="1:14" x14ac:dyDescent="0.35">
      <c r="A36" t="s">
        <v>173</v>
      </c>
      <c r="B36" t="s">
        <v>174</v>
      </c>
      <c r="C36" s="1">
        <v>45434</v>
      </c>
      <c r="D36" t="s">
        <v>16</v>
      </c>
      <c r="E36" t="s">
        <v>55</v>
      </c>
      <c r="F36" t="s">
        <v>56</v>
      </c>
      <c r="G36" t="s">
        <v>144</v>
      </c>
      <c r="H36">
        <v>4</v>
      </c>
      <c r="I36">
        <v>480000</v>
      </c>
      <c r="J36" t="s">
        <v>108</v>
      </c>
      <c r="K36" t="s">
        <v>21</v>
      </c>
      <c r="L36">
        <v>45</v>
      </c>
      <c r="M36" t="s">
        <v>22</v>
      </c>
      <c r="N36" t="s">
        <v>175</v>
      </c>
    </row>
    <row r="37" spans="1:14" x14ac:dyDescent="0.35">
      <c r="A37" t="s">
        <v>176</v>
      </c>
      <c r="B37" t="s">
        <v>177</v>
      </c>
      <c r="C37" s="1">
        <v>45680</v>
      </c>
      <c r="D37" t="s">
        <v>72</v>
      </c>
      <c r="E37" t="s">
        <v>55</v>
      </c>
      <c r="F37" t="s">
        <v>61</v>
      </c>
      <c r="G37" t="s">
        <v>95</v>
      </c>
      <c r="H37">
        <v>5</v>
      </c>
      <c r="I37">
        <v>225000</v>
      </c>
      <c r="J37" t="s">
        <v>20</v>
      </c>
      <c r="K37" t="s">
        <v>29</v>
      </c>
      <c r="L37">
        <v>55</v>
      </c>
      <c r="M37" t="s">
        <v>30</v>
      </c>
      <c r="N37" t="s">
        <v>178</v>
      </c>
    </row>
    <row r="38" spans="1:14" x14ac:dyDescent="0.35">
      <c r="A38" t="s">
        <v>179</v>
      </c>
      <c r="B38" t="s">
        <v>180</v>
      </c>
      <c r="C38" s="1">
        <v>45618</v>
      </c>
      <c r="D38" t="s">
        <v>45</v>
      </c>
      <c r="E38" t="s">
        <v>55</v>
      </c>
      <c r="F38" t="s">
        <v>18</v>
      </c>
      <c r="G38" t="s">
        <v>181</v>
      </c>
      <c r="H38">
        <v>2</v>
      </c>
      <c r="I38">
        <v>216000</v>
      </c>
      <c r="J38" t="s">
        <v>83</v>
      </c>
      <c r="K38" t="s">
        <v>21</v>
      </c>
      <c r="L38">
        <v>46</v>
      </c>
      <c r="M38" t="s">
        <v>22</v>
      </c>
      <c r="N38" t="s">
        <v>182</v>
      </c>
    </row>
    <row r="39" spans="1:14" x14ac:dyDescent="0.35">
      <c r="A39" t="s">
        <v>183</v>
      </c>
      <c r="B39" t="s">
        <v>184</v>
      </c>
      <c r="C39" s="1">
        <v>45644</v>
      </c>
      <c r="D39" t="s">
        <v>45</v>
      </c>
      <c r="E39" t="s">
        <v>34</v>
      </c>
      <c r="F39" t="s">
        <v>61</v>
      </c>
      <c r="G39" t="s">
        <v>95</v>
      </c>
      <c r="H39">
        <v>2</v>
      </c>
      <c r="I39">
        <v>216000</v>
      </c>
      <c r="J39" t="s">
        <v>20</v>
      </c>
      <c r="K39" t="s">
        <v>21</v>
      </c>
      <c r="L39">
        <v>58</v>
      </c>
      <c r="M39" t="s">
        <v>30</v>
      </c>
      <c r="N39" t="s">
        <v>185</v>
      </c>
    </row>
    <row r="40" spans="1:14" x14ac:dyDescent="0.35">
      <c r="A40" t="s">
        <v>186</v>
      </c>
      <c r="B40" t="s">
        <v>187</v>
      </c>
      <c r="C40" s="1">
        <v>45667</v>
      </c>
      <c r="D40" t="s">
        <v>45</v>
      </c>
      <c r="E40" t="s">
        <v>55</v>
      </c>
      <c r="F40" t="s">
        <v>39</v>
      </c>
      <c r="G40" t="s">
        <v>188</v>
      </c>
      <c r="H40">
        <v>2</v>
      </c>
      <c r="I40">
        <v>180000</v>
      </c>
      <c r="J40" t="s">
        <v>28</v>
      </c>
      <c r="K40" t="s">
        <v>29</v>
      </c>
      <c r="L40">
        <v>47</v>
      </c>
      <c r="M40" t="s">
        <v>22</v>
      </c>
      <c r="N40" t="s">
        <v>189</v>
      </c>
    </row>
    <row r="41" spans="1:14" x14ac:dyDescent="0.35">
      <c r="A41" t="s">
        <v>190</v>
      </c>
      <c r="B41" t="s">
        <v>191</v>
      </c>
      <c r="C41" s="1">
        <v>45335</v>
      </c>
      <c r="D41" t="s">
        <v>45</v>
      </c>
      <c r="E41" t="s">
        <v>17</v>
      </c>
      <c r="F41" t="s">
        <v>67</v>
      </c>
      <c r="G41" t="s">
        <v>68</v>
      </c>
      <c r="H41">
        <v>5</v>
      </c>
      <c r="I41">
        <v>630000</v>
      </c>
      <c r="J41" t="s">
        <v>46</v>
      </c>
      <c r="K41" t="s">
        <v>41</v>
      </c>
      <c r="L41">
        <v>47</v>
      </c>
      <c r="M41" t="s">
        <v>22</v>
      </c>
      <c r="N41" t="s">
        <v>192</v>
      </c>
    </row>
    <row r="42" spans="1:14" x14ac:dyDescent="0.35">
      <c r="A42" t="s">
        <v>193</v>
      </c>
      <c r="B42" t="s">
        <v>194</v>
      </c>
      <c r="C42" s="1">
        <v>45055</v>
      </c>
      <c r="D42" t="s">
        <v>72</v>
      </c>
      <c r="E42" t="s">
        <v>17</v>
      </c>
      <c r="F42" t="s">
        <v>18</v>
      </c>
      <c r="G42" t="s">
        <v>19</v>
      </c>
      <c r="H42">
        <v>2</v>
      </c>
      <c r="I42">
        <v>108000</v>
      </c>
      <c r="J42" t="s">
        <v>83</v>
      </c>
      <c r="K42" t="s">
        <v>21</v>
      </c>
      <c r="L42">
        <v>52</v>
      </c>
      <c r="M42" t="s">
        <v>30</v>
      </c>
      <c r="N42" t="s">
        <v>195</v>
      </c>
    </row>
    <row r="43" spans="1:14" x14ac:dyDescent="0.35">
      <c r="A43" t="s">
        <v>196</v>
      </c>
      <c r="B43" t="s">
        <v>197</v>
      </c>
      <c r="C43" s="1">
        <v>45256</v>
      </c>
      <c r="D43" t="s">
        <v>72</v>
      </c>
      <c r="E43" t="s">
        <v>55</v>
      </c>
      <c r="F43" t="s">
        <v>50</v>
      </c>
      <c r="G43" t="s">
        <v>51</v>
      </c>
      <c r="H43">
        <v>1</v>
      </c>
      <c r="I43">
        <v>45000</v>
      </c>
      <c r="J43" t="s">
        <v>28</v>
      </c>
      <c r="K43" t="s">
        <v>29</v>
      </c>
      <c r="L43">
        <v>34</v>
      </c>
      <c r="M43" t="s">
        <v>22</v>
      </c>
      <c r="N43" t="s">
        <v>198</v>
      </c>
    </row>
    <row r="44" spans="1:14" x14ac:dyDescent="0.35">
      <c r="A44" t="s">
        <v>199</v>
      </c>
      <c r="B44" t="s">
        <v>200</v>
      </c>
      <c r="C44" s="1">
        <v>45096</v>
      </c>
      <c r="D44" t="s">
        <v>66</v>
      </c>
      <c r="E44" t="s">
        <v>17</v>
      </c>
      <c r="F44" t="s">
        <v>163</v>
      </c>
      <c r="G44" t="s">
        <v>201</v>
      </c>
      <c r="H44">
        <v>3</v>
      </c>
      <c r="I44">
        <v>180000</v>
      </c>
      <c r="J44" t="s">
        <v>83</v>
      </c>
      <c r="K44" t="s">
        <v>29</v>
      </c>
      <c r="L44">
        <v>30</v>
      </c>
      <c r="M44" t="s">
        <v>22</v>
      </c>
      <c r="N44" t="s">
        <v>202</v>
      </c>
    </row>
    <row r="45" spans="1:14" x14ac:dyDescent="0.35">
      <c r="A45" t="s">
        <v>203</v>
      </c>
      <c r="B45" t="s">
        <v>204</v>
      </c>
      <c r="C45" s="1">
        <v>45541</v>
      </c>
      <c r="D45" t="s">
        <v>45</v>
      </c>
      <c r="E45" t="s">
        <v>34</v>
      </c>
      <c r="F45" t="s">
        <v>61</v>
      </c>
      <c r="G45" t="s">
        <v>62</v>
      </c>
      <c r="H45">
        <v>4</v>
      </c>
      <c r="I45">
        <v>432000</v>
      </c>
      <c r="J45" t="s">
        <v>28</v>
      </c>
      <c r="K45" t="s">
        <v>21</v>
      </c>
      <c r="L45">
        <v>14</v>
      </c>
      <c r="M45" t="s">
        <v>22</v>
      </c>
      <c r="N45" t="s">
        <v>205</v>
      </c>
    </row>
    <row r="46" spans="1:14" x14ac:dyDescent="0.35">
      <c r="A46" t="s">
        <v>206</v>
      </c>
      <c r="B46" t="s">
        <v>207</v>
      </c>
      <c r="C46" s="1">
        <v>45697</v>
      </c>
      <c r="D46" t="s">
        <v>45</v>
      </c>
      <c r="E46" t="s">
        <v>55</v>
      </c>
      <c r="F46" t="s">
        <v>50</v>
      </c>
      <c r="G46" t="s">
        <v>107</v>
      </c>
      <c r="H46">
        <v>3</v>
      </c>
      <c r="I46">
        <v>378000</v>
      </c>
      <c r="J46" t="s">
        <v>20</v>
      </c>
      <c r="K46" t="s">
        <v>41</v>
      </c>
      <c r="L46">
        <v>15</v>
      </c>
      <c r="M46" t="s">
        <v>22</v>
      </c>
      <c r="N46" t="s">
        <v>208</v>
      </c>
    </row>
    <row r="47" spans="1:14" x14ac:dyDescent="0.35">
      <c r="A47" t="s">
        <v>209</v>
      </c>
      <c r="B47" t="s">
        <v>210</v>
      </c>
      <c r="C47" s="1">
        <v>45146</v>
      </c>
      <c r="D47" t="s">
        <v>16</v>
      </c>
      <c r="E47" t="s">
        <v>55</v>
      </c>
      <c r="F47" t="s">
        <v>67</v>
      </c>
      <c r="G47" t="s">
        <v>68</v>
      </c>
      <c r="H47">
        <v>5</v>
      </c>
      <c r="I47">
        <v>600000</v>
      </c>
      <c r="J47" t="s">
        <v>83</v>
      </c>
      <c r="K47" t="s">
        <v>21</v>
      </c>
      <c r="L47">
        <v>10</v>
      </c>
      <c r="M47" t="s">
        <v>22</v>
      </c>
      <c r="N47" t="s">
        <v>211</v>
      </c>
    </row>
    <row r="48" spans="1:14" x14ac:dyDescent="0.35">
      <c r="A48" t="s">
        <v>212</v>
      </c>
      <c r="B48" t="s">
        <v>213</v>
      </c>
      <c r="C48" s="1">
        <v>45164</v>
      </c>
      <c r="D48" t="s">
        <v>66</v>
      </c>
      <c r="E48" t="s">
        <v>55</v>
      </c>
      <c r="F48" t="s">
        <v>163</v>
      </c>
      <c r="G48" t="s">
        <v>214</v>
      </c>
      <c r="H48">
        <v>2</v>
      </c>
      <c r="I48">
        <v>168000</v>
      </c>
      <c r="J48" t="s">
        <v>28</v>
      </c>
      <c r="K48" t="s">
        <v>41</v>
      </c>
      <c r="L48">
        <v>5</v>
      </c>
      <c r="M48" t="s">
        <v>22</v>
      </c>
      <c r="N48" t="s">
        <v>215</v>
      </c>
    </row>
    <row r="49" spans="1:14" x14ac:dyDescent="0.35">
      <c r="A49" t="s">
        <v>216</v>
      </c>
      <c r="B49" t="s">
        <v>217</v>
      </c>
      <c r="C49" s="1">
        <v>45506</v>
      </c>
      <c r="D49" t="s">
        <v>16</v>
      </c>
      <c r="E49" t="s">
        <v>17</v>
      </c>
      <c r="F49" t="s">
        <v>26</v>
      </c>
      <c r="G49" t="s">
        <v>35</v>
      </c>
      <c r="H49">
        <v>4</v>
      </c>
      <c r="I49">
        <v>400000</v>
      </c>
      <c r="J49" t="s">
        <v>46</v>
      </c>
      <c r="K49" t="s">
        <v>29</v>
      </c>
      <c r="L49">
        <v>46</v>
      </c>
      <c r="M49" t="s">
        <v>22</v>
      </c>
      <c r="N49" t="s">
        <v>218</v>
      </c>
    </row>
    <row r="50" spans="1:14" x14ac:dyDescent="0.35">
      <c r="A50" t="s">
        <v>219</v>
      </c>
      <c r="B50" t="s">
        <v>220</v>
      </c>
      <c r="C50" s="1">
        <v>45363</v>
      </c>
      <c r="D50" t="s">
        <v>16</v>
      </c>
      <c r="E50" t="s">
        <v>55</v>
      </c>
      <c r="F50" t="s">
        <v>26</v>
      </c>
      <c r="G50" t="s">
        <v>221</v>
      </c>
      <c r="H50">
        <v>3</v>
      </c>
      <c r="I50">
        <v>300000</v>
      </c>
      <c r="J50" t="s">
        <v>46</v>
      </c>
      <c r="K50" t="s">
        <v>29</v>
      </c>
      <c r="L50">
        <v>53</v>
      </c>
      <c r="M50" t="s">
        <v>30</v>
      </c>
      <c r="N50" t="s">
        <v>222</v>
      </c>
    </row>
    <row r="51" spans="1:14" x14ac:dyDescent="0.35">
      <c r="A51" t="s">
        <v>223</v>
      </c>
      <c r="B51" t="s">
        <v>224</v>
      </c>
      <c r="C51" s="1">
        <v>45534</v>
      </c>
      <c r="D51" t="s">
        <v>72</v>
      </c>
      <c r="E51" t="s">
        <v>34</v>
      </c>
      <c r="F51" t="s">
        <v>50</v>
      </c>
      <c r="G51" t="s">
        <v>132</v>
      </c>
      <c r="H51">
        <v>1</v>
      </c>
      <c r="I51">
        <v>63000</v>
      </c>
      <c r="J51" t="s">
        <v>28</v>
      </c>
      <c r="K51" t="s">
        <v>41</v>
      </c>
      <c r="L51">
        <v>24</v>
      </c>
      <c r="M51" t="s">
        <v>30</v>
      </c>
      <c r="N51" t="s">
        <v>225</v>
      </c>
    </row>
    <row r="52" spans="1:14" x14ac:dyDescent="0.35">
      <c r="A52" t="s">
        <v>226</v>
      </c>
      <c r="B52" t="s">
        <v>227</v>
      </c>
      <c r="C52" s="1">
        <v>45118</v>
      </c>
      <c r="D52" t="s">
        <v>72</v>
      </c>
      <c r="E52" t="s">
        <v>55</v>
      </c>
      <c r="F52" t="s">
        <v>61</v>
      </c>
      <c r="G52" t="s">
        <v>99</v>
      </c>
      <c r="H52">
        <v>5</v>
      </c>
      <c r="I52">
        <v>315000</v>
      </c>
      <c r="J52" t="s">
        <v>108</v>
      </c>
      <c r="K52" t="s">
        <v>41</v>
      </c>
      <c r="L52">
        <v>48</v>
      </c>
      <c r="M52" t="s">
        <v>30</v>
      </c>
      <c r="N52" t="s">
        <v>228</v>
      </c>
    </row>
    <row r="53" spans="1:14" x14ac:dyDescent="0.35">
      <c r="A53" t="s">
        <v>229</v>
      </c>
      <c r="B53" t="s">
        <v>230</v>
      </c>
      <c r="C53" s="1">
        <v>45736</v>
      </c>
      <c r="D53" t="s">
        <v>66</v>
      </c>
      <c r="E53" t="s">
        <v>17</v>
      </c>
      <c r="F53" t="s">
        <v>67</v>
      </c>
      <c r="G53" t="s">
        <v>112</v>
      </c>
      <c r="H53">
        <v>4</v>
      </c>
      <c r="I53">
        <v>288000</v>
      </c>
      <c r="J53" t="s">
        <v>108</v>
      </c>
      <c r="K53" t="s">
        <v>21</v>
      </c>
      <c r="L53">
        <v>12</v>
      </c>
      <c r="M53" t="s">
        <v>22</v>
      </c>
      <c r="N53" t="s">
        <v>231</v>
      </c>
    </row>
    <row r="54" spans="1:14" x14ac:dyDescent="0.35">
      <c r="A54" t="s">
        <v>232</v>
      </c>
      <c r="B54" t="s">
        <v>233</v>
      </c>
      <c r="C54" s="1">
        <v>45383</v>
      </c>
      <c r="D54" t="s">
        <v>45</v>
      </c>
      <c r="E54" t="s">
        <v>17</v>
      </c>
      <c r="F54" t="s">
        <v>77</v>
      </c>
      <c r="G54" t="s">
        <v>136</v>
      </c>
      <c r="H54">
        <v>1</v>
      </c>
      <c r="I54">
        <v>108000</v>
      </c>
      <c r="J54" t="s">
        <v>108</v>
      </c>
      <c r="K54" t="s">
        <v>21</v>
      </c>
      <c r="L54">
        <v>21</v>
      </c>
      <c r="M54" t="s">
        <v>30</v>
      </c>
      <c r="N54" t="s">
        <v>234</v>
      </c>
    </row>
    <row r="55" spans="1:14" x14ac:dyDescent="0.35">
      <c r="A55" t="s">
        <v>235</v>
      </c>
      <c r="B55" t="s">
        <v>236</v>
      </c>
      <c r="C55" s="1">
        <v>45088</v>
      </c>
      <c r="D55" t="s">
        <v>72</v>
      </c>
      <c r="E55" t="s">
        <v>17</v>
      </c>
      <c r="F55" t="s">
        <v>61</v>
      </c>
      <c r="G55" t="s">
        <v>99</v>
      </c>
      <c r="H55">
        <v>1</v>
      </c>
      <c r="I55">
        <v>45000</v>
      </c>
      <c r="J55" t="s">
        <v>20</v>
      </c>
      <c r="K55" t="s">
        <v>29</v>
      </c>
      <c r="L55">
        <v>5</v>
      </c>
      <c r="M55" t="s">
        <v>30</v>
      </c>
      <c r="N55" t="s">
        <v>237</v>
      </c>
    </row>
    <row r="56" spans="1:14" x14ac:dyDescent="0.35">
      <c r="A56" t="s">
        <v>238</v>
      </c>
      <c r="B56" t="s">
        <v>239</v>
      </c>
      <c r="C56" s="1">
        <v>45227</v>
      </c>
      <c r="D56" t="s">
        <v>66</v>
      </c>
      <c r="E56" t="s">
        <v>34</v>
      </c>
      <c r="F56" t="s">
        <v>61</v>
      </c>
      <c r="G56" t="s">
        <v>156</v>
      </c>
      <c r="H56">
        <v>2</v>
      </c>
      <c r="I56">
        <v>120000</v>
      </c>
      <c r="J56" t="s">
        <v>108</v>
      </c>
      <c r="K56" t="s">
        <v>29</v>
      </c>
      <c r="L56">
        <v>37</v>
      </c>
      <c r="M56" t="s">
        <v>30</v>
      </c>
      <c r="N56" t="s">
        <v>240</v>
      </c>
    </row>
    <row r="57" spans="1:14" x14ac:dyDescent="0.35">
      <c r="A57" t="s">
        <v>241</v>
      </c>
      <c r="B57" t="s">
        <v>242</v>
      </c>
      <c r="C57" s="1">
        <v>45237</v>
      </c>
      <c r="D57" t="s">
        <v>72</v>
      </c>
      <c r="E57" t="s">
        <v>34</v>
      </c>
      <c r="F57" t="s">
        <v>50</v>
      </c>
      <c r="G57" t="s">
        <v>73</v>
      </c>
      <c r="H57">
        <v>5</v>
      </c>
      <c r="I57">
        <v>225000</v>
      </c>
      <c r="J57" t="s">
        <v>20</v>
      </c>
      <c r="K57" t="s">
        <v>29</v>
      </c>
      <c r="L57">
        <v>45</v>
      </c>
      <c r="M57" t="s">
        <v>22</v>
      </c>
      <c r="N57" t="s">
        <v>243</v>
      </c>
    </row>
    <row r="58" spans="1:14" x14ac:dyDescent="0.35">
      <c r="A58" t="s">
        <v>244</v>
      </c>
      <c r="B58" t="s">
        <v>245</v>
      </c>
      <c r="C58" s="1">
        <v>45073</v>
      </c>
      <c r="D58" t="s">
        <v>66</v>
      </c>
      <c r="E58" t="s">
        <v>55</v>
      </c>
      <c r="F58" t="s">
        <v>39</v>
      </c>
      <c r="G58" t="s">
        <v>40</v>
      </c>
      <c r="H58">
        <v>1</v>
      </c>
      <c r="I58">
        <v>84000</v>
      </c>
      <c r="J58" t="s">
        <v>83</v>
      </c>
      <c r="K58" t="s">
        <v>41</v>
      </c>
      <c r="L58">
        <v>45</v>
      </c>
      <c r="M58" t="s">
        <v>22</v>
      </c>
      <c r="N58" t="s">
        <v>246</v>
      </c>
    </row>
    <row r="59" spans="1:14" x14ac:dyDescent="0.35">
      <c r="A59" t="s">
        <v>247</v>
      </c>
      <c r="B59" t="s">
        <v>248</v>
      </c>
      <c r="C59" s="1">
        <v>45314</v>
      </c>
      <c r="D59" t="s">
        <v>72</v>
      </c>
      <c r="E59" t="s">
        <v>55</v>
      </c>
      <c r="F59" t="s">
        <v>39</v>
      </c>
      <c r="G59" t="s">
        <v>188</v>
      </c>
      <c r="H59">
        <v>5</v>
      </c>
      <c r="I59">
        <v>225000</v>
      </c>
      <c r="J59" t="s">
        <v>108</v>
      </c>
      <c r="K59" t="s">
        <v>29</v>
      </c>
      <c r="L59">
        <v>33</v>
      </c>
      <c r="M59" t="s">
        <v>22</v>
      </c>
      <c r="N59" t="s">
        <v>249</v>
      </c>
    </row>
    <row r="60" spans="1:14" x14ac:dyDescent="0.35">
      <c r="A60" t="s">
        <v>250</v>
      </c>
      <c r="B60" t="s">
        <v>251</v>
      </c>
      <c r="C60" s="1">
        <v>45569</v>
      </c>
      <c r="D60" t="s">
        <v>66</v>
      </c>
      <c r="E60" t="s">
        <v>17</v>
      </c>
      <c r="F60" t="s">
        <v>252</v>
      </c>
      <c r="G60" t="s">
        <v>253</v>
      </c>
      <c r="H60">
        <v>3</v>
      </c>
      <c r="I60">
        <v>252000</v>
      </c>
      <c r="J60" t="s">
        <v>20</v>
      </c>
      <c r="K60" t="s">
        <v>41</v>
      </c>
      <c r="L60">
        <v>34</v>
      </c>
      <c r="M60" t="s">
        <v>30</v>
      </c>
      <c r="N60" t="s">
        <v>254</v>
      </c>
    </row>
    <row r="61" spans="1:14" x14ac:dyDescent="0.35">
      <c r="A61" t="s">
        <v>255</v>
      </c>
      <c r="B61" t="s">
        <v>256</v>
      </c>
      <c r="C61" s="1">
        <v>45558</v>
      </c>
      <c r="D61" t="s">
        <v>16</v>
      </c>
      <c r="E61" t="s">
        <v>34</v>
      </c>
      <c r="F61" t="s">
        <v>252</v>
      </c>
      <c r="G61" t="s">
        <v>257</v>
      </c>
      <c r="H61">
        <v>2</v>
      </c>
      <c r="I61">
        <v>280000</v>
      </c>
      <c r="J61" t="s">
        <v>108</v>
      </c>
      <c r="K61" t="s">
        <v>41</v>
      </c>
      <c r="L61">
        <v>16</v>
      </c>
      <c r="M61" t="s">
        <v>30</v>
      </c>
      <c r="N61" t="s">
        <v>258</v>
      </c>
    </row>
    <row r="62" spans="1:14" x14ac:dyDescent="0.35">
      <c r="A62" t="s">
        <v>259</v>
      </c>
      <c r="B62" t="s">
        <v>260</v>
      </c>
      <c r="C62" s="1">
        <v>45637</v>
      </c>
      <c r="D62" t="s">
        <v>45</v>
      </c>
      <c r="E62" t="s">
        <v>17</v>
      </c>
      <c r="F62" t="s">
        <v>163</v>
      </c>
      <c r="G62" t="s">
        <v>164</v>
      </c>
      <c r="H62">
        <v>3</v>
      </c>
      <c r="I62">
        <v>378000</v>
      </c>
      <c r="J62" t="s">
        <v>46</v>
      </c>
      <c r="K62" t="s">
        <v>41</v>
      </c>
      <c r="L62">
        <v>50</v>
      </c>
      <c r="M62" t="s">
        <v>22</v>
      </c>
      <c r="N62" t="s">
        <v>261</v>
      </c>
    </row>
    <row r="63" spans="1:14" x14ac:dyDescent="0.35">
      <c r="A63" t="s">
        <v>262</v>
      </c>
      <c r="B63" t="s">
        <v>263</v>
      </c>
      <c r="C63" s="1">
        <v>45199</v>
      </c>
      <c r="D63" t="s">
        <v>72</v>
      </c>
      <c r="E63" t="s">
        <v>34</v>
      </c>
      <c r="F63" t="s">
        <v>67</v>
      </c>
      <c r="G63" t="s">
        <v>128</v>
      </c>
      <c r="H63">
        <v>5</v>
      </c>
      <c r="I63">
        <v>315000</v>
      </c>
      <c r="J63" t="s">
        <v>20</v>
      </c>
      <c r="K63" t="s">
        <v>41</v>
      </c>
      <c r="L63">
        <v>33</v>
      </c>
      <c r="M63" t="s">
        <v>30</v>
      </c>
      <c r="N63" t="s">
        <v>264</v>
      </c>
    </row>
    <row r="64" spans="1:14" x14ac:dyDescent="0.35">
      <c r="A64" t="s">
        <v>265</v>
      </c>
      <c r="B64" t="s">
        <v>266</v>
      </c>
      <c r="C64" s="1">
        <v>45091</v>
      </c>
      <c r="D64" t="s">
        <v>45</v>
      </c>
      <c r="E64" t="s">
        <v>17</v>
      </c>
      <c r="F64" t="s">
        <v>50</v>
      </c>
      <c r="G64" t="s">
        <v>148</v>
      </c>
      <c r="H64">
        <v>5</v>
      </c>
      <c r="I64">
        <v>540000</v>
      </c>
      <c r="J64" t="s">
        <v>108</v>
      </c>
      <c r="K64" t="s">
        <v>21</v>
      </c>
      <c r="L64">
        <v>50</v>
      </c>
      <c r="M64" t="s">
        <v>22</v>
      </c>
      <c r="N64" t="s">
        <v>267</v>
      </c>
    </row>
    <row r="65" spans="1:14" x14ac:dyDescent="0.35">
      <c r="A65" t="s">
        <v>268</v>
      </c>
      <c r="B65" t="s">
        <v>269</v>
      </c>
      <c r="C65" s="1">
        <v>45670</v>
      </c>
      <c r="D65" t="s">
        <v>72</v>
      </c>
      <c r="E65" t="s">
        <v>34</v>
      </c>
      <c r="F65" t="s">
        <v>67</v>
      </c>
      <c r="G65" t="s">
        <v>120</v>
      </c>
      <c r="H65">
        <v>3</v>
      </c>
      <c r="I65">
        <v>162000</v>
      </c>
      <c r="J65" t="s">
        <v>28</v>
      </c>
      <c r="K65" t="s">
        <v>21</v>
      </c>
      <c r="L65">
        <v>39</v>
      </c>
      <c r="M65" t="s">
        <v>22</v>
      </c>
      <c r="N65" t="s">
        <v>270</v>
      </c>
    </row>
    <row r="66" spans="1:14" x14ac:dyDescent="0.35">
      <c r="A66" t="s">
        <v>271</v>
      </c>
      <c r="B66" t="s">
        <v>272</v>
      </c>
      <c r="C66" s="1">
        <v>45057</v>
      </c>
      <c r="D66" t="s">
        <v>16</v>
      </c>
      <c r="E66" t="s">
        <v>55</v>
      </c>
      <c r="F66" t="s">
        <v>18</v>
      </c>
      <c r="G66" t="s">
        <v>103</v>
      </c>
      <c r="H66">
        <v>3</v>
      </c>
      <c r="I66">
        <v>300000</v>
      </c>
      <c r="J66" t="s">
        <v>28</v>
      </c>
      <c r="K66" t="s">
        <v>29</v>
      </c>
      <c r="L66">
        <v>22</v>
      </c>
      <c r="M66" t="s">
        <v>22</v>
      </c>
      <c r="N66" t="s">
        <v>273</v>
      </c>
    </row>
    <row r="67" spans="1:14" x14ac:dyDescent="0.35">
      <c r="A67" t="s">
        <v>274</v>
      </c>
      <c r="B67" t="s">
        <v>275</v>
      </c>
      <c r="C67" s="1">
        <v>45379</v>
      </c>
      <c r="D67" t="s">
        <v>16</v>
      </c>
      <c r="E67" t="s">
        <v>17</v>
      </c>
      <c r="F67" t="s">
        <v>61</v>
      </c>
      <c r="G67" t="s">
        <v>156</v>
      </c>
      <c r="H67">
        <v>4</v>
      </c>
      <c r="I67">
        <v>560000</v>
      </c>
      <c r="J67" t="s">
        <v>28</v>
      </c>
      <c r="K67" t="s">
        <v>41</v>
      </c>
      <c r="L67">
        <v>55</v>
      </c>
      <c r="M67" t="s">
        <v>30</v>
      </c>
      <c r="N67" t="s">
        <v>276</v>
      </c>
    </row>
    <row r="68" spans="1:14" x14ac:dyDescent="0.35">
      <c r="A68" t="s">
        <v>277</v>
      </c>
      <c r="B68" t="s">
        <v>278</v>
      </c>
      <c r="C68" s="1">
        <v>45458</v>
      </c>
      <c r="D68" t="s">
        <v>66</v>
      </c>
      <c r="E68" t="s">
        <v>17</v>
      </c>
      <c r="F68" t="s">
        <v>18</v>
      </c>
      <c r="G68" t="s">
        <v>19</v>
      </c>
      <c r="H68">
        <v>1</v>
      </c>
      <c r="I68">
        <v>84000</v>
      </c>
      <c r="J68" t="s">
        <v>20</v>
      </c>
      <c r="K68" t="s">
        <v>41</v>
      </c>
      <c r="L68">
        <v>53</v>
      </c>
      <c r="M68" t="s">
        <v>30</v>
      </c>
      <c r="N68" t="s">
        <v>279</v>
      </c>
    </row>
    <row r="69" spans="1:14" x14ac:dyDescent="0.35">
      <c r="A69" t="s">
        <v>280</v>
      </c>
      <c r="B69" t="s">
        <v>281</v>
      </c>
      <c r="C69" s="1">
        <v>45734</v>
      </c>
      <c r="D69" t="s">
        <v>16</v>
      </c>
      <c r="E69" t="s">
        <v>55</v>
      </c>
      <c r="F69" t="s">
        <v>163</v>
      </c>
      <c r="G69" t="s">
        <v>282</v>
      </c>
      <c r="H69">
        <v>3</v>
      </c>
      <c r="I69">
        <v>420000</v>
      </c>
      <c r="J69" t="s">
        <v>83</v>
      </c>
      <c r="K69" t="s">
        <v>41</v>
      </c>
      <c r="L69">
        <v>7</v>
      </c>
      <c r="M69" t="s">
        <v>30</v>
      </c>
      <c r="N69" t="s">
        <v>283</v>
      </c>
    </row>
    <row r="70" spans="1:14" x14ac:dyDescent="0.35">
      <c r="A70" t="s">
        <v>284</v>
      </c>
      <c r="B70" t="s">
        <v>285</v>
      </c>
      <c r="C70" s="1">
        <v>45483</v>
      </c>
      <c r="D70" t="s">
        <v>45</v>
      </c>
      <c r="E70" t="s">
        <v>55</v>
      </c>
      <c r="F70" t="s">
        <v>252</v>
      </c>
      <c r="G70" t="s">
        <v>286</v>
      </c>
      <c r="H70">
        <v>3</v>
      </c>
      <c r="I70">
        <v>270000</v>
      </c>
      <c r="J70" t="s">
        <v>46</v>
      </c>
      <c r="K70" t="s">
        <v>29</v>
      </c>
      <c r="L70">
        <v>10</v>
      </c>
      <c r="M70" t="s">
        <v>30</v>
      </c>
      <c r="N70" t="s">
        <v>287</v>
      </c>
    </row>
    <row r="71" spans="1:14" x14ac:dyDescent="0.35">
      <c r="A71" t="s">
        <v>288</v>
      </c>
      <c r="B71" t="s">
        <v>289</v>
      </c>
      <c r="C71" s="1">
        <v>45078</v>
      </c>
      <c r="D71" t="s">
        <v>16</v>
      </c>
      <c r="E71" t="s">
        <v>17</v>
      </c>
      <c r="F71" t="s">
        <v>61</v>
      </c>
      <c r="G71" t="s">
        <v>290</v>
      </c>
      <c r="H71">
        <v>2</v>
      </c>
      <c r="I71">
        <v>280000</v>
      </c>
      <c r="J71" t="s">
        <v>83</v>
      </c>
      <c r="K71" t="s">
        <v>41</v>
      </c>
      <c r="L71">
        <v>57</v>
      </c>
      <c r="M71" t="s">
        <v>30</v>
      </c>
      <c r="N71" t="s">
        <v>291</v>
      </c>
    </row>
    <row r="72" spans="1:14" x14ac:dyDescent="0.35">
      <c r="A72" t="s">
        <v>292</v>
      </c>
      <c r="B72" t="s">
        <v>293</v>
      </c>
      <c r="C72" s="1">
        <v>45307</v>
      </c>
      <c r="D72" t="s">
        <v>45</v>
      </c>
      <c r="E72" t="s">
        <v>55</v>
      </c>
      <c r="F72" t="s">
        <v>56</v>
      </c>
      <c r="G72" t="s">
        <v>152</v>
      </c>
      <c r="H72">
        <v>4</v>
      </c>
      <c r="I72">
        <v>432000</v>
      </c>
      <c r="J72" t="s">
        <v>28</v>
      </c>
      <c r="K72" t="s">
        <v>21</v>
      </c>
      <c r="L72">
        <v>9</v>
      </c>
      <c r="M72" t="s">
        <v>30</v>
      </c>
      <c r="N72" t="s">
        <v>294</v>
      </c>
    </row>
    <row r="73" spans="1:14" x14ac:dyDescent="0.35">
      <c r="A73" t="s">
        <v>295</v>
      </c>
      <c r="B73" t="s">
        <v>296</v>
      </c>
      <c r="C73" s="1">
        <v>45281</v>
      </c>
      <c r="D73" t="s">
        <v>45</v>
      </c>
      <c r="E73" t="s">
        <v>55</v>
      </c>
      <c r="F73" t="s">
        <v>18</v>
      </c>
      <c r="G73" t="s">
        <v>297</v>
      </c>
      <c r="H73">
        <v>4</v>
      </c>
      <c r="I73">
        <v>432000</v>
      </c>
      <c r="J73" t="s">
        <v>108</v>
      </c>
      <c r="K73" t="s">
        <v>21</v>
      </c>
      <c r="L73">
        <v>23</v>
      </c>
      <c r="M73" t="s">
        <v>30</v>
      </c>
      <c r="N73" t="s">
        <v>298</v>
      </c>
    </row>
    <row r="74" spans="1:14" x14ac:dyDescent="0.35">
      <c r="A74" t="s">
        <v>299</v>
      </c>
      <c r="B74" t="s">
        <v>300</v>
      </c>
      <c r="C74" s="1">
        <v>45596</v>
      </c>
      <c r="D74" t="s">
        <v>45</v>
      </c>
      <c r="E74" t="s">
        <v>17</v>
      </c>
      <c r="F74" t="s">
        <v>67</v>
      </c>
      <c r="G74" t="s">
        <v>68</v>
      </c>
      <c r="H74">
        <v>4</v>
      </c>
      <c r="I74">
        <v>432000</v>
      </c>
      <c r="J74" t="s">
        <v>108</v>
      </c>
      <c r="K74" t="s">
        <v>21</v>
      </c>
      <c r="L74">
        <v>40</v>
      </c>
      <c r="M74" t="s">
        <v>22</v>
      </c>
      <c r="N74" t="s">
        <v>301</v>
      </c>
    </row>
    <row r="75" spans="1:14" x14ac:dyDescent="0.35">
      <c r="A75" t="s">
        <v>302</v>
      </c>
      <c r="B75" t="s">
        <v>303</v>
      </c>
      <c r="C75" s="1">
        <v>45311</v>
      </c>
      <c r="D75" t="s">
        <v>16</v>
      </c>
      <c r="E75" t="s">
        <v>17</v>
      </c>
      <c r="F75" t="s">
        <v>61</v>
      </c>
      <c r="G75" t="s">
        <v>95</v>
      </c>
      <c r="H75">
        <v>5</v>
      </c>
      <c r="I75">
        <v>500000</v>
      </c>
      <c r="J75" t="s">
        <v>20</v>
      </c>
      <c r="K75" t="s">
        <v>29</v>
      </c>
      <c r="L75">
        <v>36</v>
      </c>
      <c r="M75" t="s">
        <v>30</v>
      </c>
      <c r="N75" t="s">
        <v>304</v>
      </c>
    </row>
    <row r="76" spans="1:14" x14ac:dyDescent="0.35">
      <c r="A76" t="s">
        <v>305</v>
      </c>
      <c r="B76" t="s">
        <v>306</v>
      </c>
      <c r="C76" s="1">
        <v>45601</v>
      </c>
      <c r="D76" t="s">
        <v>16</v>
      </c>
      <c r="E76" t="s">
        <v>34</v>
      </c>
      <c r="F76" t="s">
        <v>252</v>
      </c>
      <c r="G76" t="s">
        <v>307</v>
      </c>
      <c r="H76">
        <v>2</v>
      </c>
      <c r="I76">
        <v>240000</v>
      </c>
      <c r="J76" t="s">
        <v>20</v>
      </c>
      <c r="K76" t="s">
        <v>21</v>
      </c>
      <c r="L76">
        <v>49</v>
      </c>
      <c r="M76" t="s">
        <v>22</v>
      </c>
      <c r="N76" t="s">
        <v>308</v>
      </c>
    </row>
    <row r="77" spans="1:14" x14ac:dyDescent="0.35">
      <c r="A77" t="s">
        <v>309</v>
      </c>
      <c r="B77" t="s">
        <v>310</v>
      </c>
      <c r="C77" s="1">
        <v>45422</v>
      </c>
      <c r="D77" t="s">
        <v>16</v>
      </c>
      <c r="E77" t="s">
        <v>17</v>
      </c>
      <c r="F77" t="s">
        <v>252</v>
      </c>
      <c r="G77" t="s">
        <v>257</v>
      </c>
      <c r="H77">
        <v>2</v>
      </c>
      <c r="I77">
        <v>280000</v>
      </c>
      <c r="J77" t="s">
        <v>28</v>
      </c>
      <c r="K77" t="s">
        <v>41</v>
      </c>
      <c r="L77">
        <v>31</v>
      </c>
      <c r="M77" t="s">
        <v>30</v>
      </c>
      <c r="N77" t="s">
        <v>311</v>
      </c>
    </row>
    <row r="78" spans="1:14" x14ac:dyDescent="0.35">
      <c r="A78" t="s">
        <v>312</v>
      </c>
      <c r="B78" t="s">
        <v>313</v>
      </c>
      <c r="C78" s="1">
        <v>45506</v>
      </c>
      <c r="D78" t="s">
        <v>66</v>
      </c>
      <c r="E78" t="s">
        <v>55</v>
      </c>
      <c r="F78" t="s">
        <v>18</v>
      </c>
      <c r="G78" t="s">
        <v>103</v>
      </c>
      <c r="H78">
        <v>5</v>
      </c>
      <c r="I78">
        <v>360000</v>
      </c>
      <c r="J78" t="s">
        <v>28</v>
      </c>
      <c r="K78" t="s">
        <v>21</v>
      </c>
      <c r="L78">
        <v>37</v>
      </c>
      <c r="M78" t="s">
        <v>22</v>
      </c>
      <c r="N78" t="s">
        <v>314</v>
      </c>
    </row>
    <row r="79" spans="1:14" x14ac:dyDescent="0.35">
      <c r="A79" t="s">
        <v>315</v>
      </c>
      <c r="B79" t="s">
        <v>316</v>
      </c>
      <c r="C79" s="1">
        <v>45157</v>
      </c>
      <c r="D79" t="s">
        <v>16</v>
      </c>
      <c r="E79" t="s">
        <v>34</v>
      </c>
      <c r="F79" t="s">
        <v>61</v>
      </c>
      <c r="G79" t="s">
        <v>290</v>
      </c>
      <c r="H79">
        <v>4</v>
      </c>
      <c r="I79">
        <v>560000</v>
      </c>
      <c r="J79" t="s">
        <v>28</v>
      </c>
      <c r="K79" t="s">
        <v>41</v>
      </c>
      <c r="L79">
        <v>33</v>
      </c>
      <c r="M79" t="s">
        <v>22</v>
      </c>
      <c r="N79" t="s">
        <v>317</v>
      </c>
    </row>
    <row r="80" spans="1:14" x14ac:dyDescent="0.35">
      <c r="A80" t="s">
        <v>318</v>
      </c>
      <c r="B80" t="s">
        <v>319</v>
      </c>
      <c r="C80" s="1">
        <v>45749</v>
      </c>
      <c r="D80" t="s">
        <v>16</v>
      </c>
      <c r="E80" t="s">
        <v>17</v>
      </c>
      <c r="F80" t="s">
        <v>252</v>
      </c>
      <c r="G80" t="s">
        <v>257</v>
      </c>
      <c r="H80">
        <v>1</v>
      </c>
      <c r="I80">
        <v>100000</v>
      </c>
      <c r="J80" t="s">
        <v>28</v>
      </c>
      <c r="K80" t="s">
        <v>29</v>
      </c>
      <c r="L80">
        <v>30</v>
      </c>
      <c r="M80" t="s">
        <v>22</v>
      </c>
      <c r="N80" t="s">
        <v>320</v>
      </c>
    </row>
    <row r="81" spans="1:14" x14ac:dyDescent="0.35">
      <c r="A81" t="s">
        <v>321</v>
      </c>
      <c r="B81" t="s">
        <v>322</v>
      </c>
      <c r="C81" s="1">
        <v>45282</v>
      </c>
      <c r="D81" t="s">
        <v>16</v>
      </c>
      <c r="E81" t="s">
        <v>34</v>
      </c>
      <c r="F81" t="s">
        <v>26</v>
      </c>
      <c r="G81" t="s">
        <v>124</v>
      </c>
      <c r="H81">
        <v>4</v>
      </c>
      <c r="I81">
        <v>560000</v>
      </c>
      <c r="J81" t="s">
        <v>20</v>
      </c>
      <c r="K81" t="s">
        <v>41</v>
      </c>
      <c r="L81">
        <v>32</v>
      </c>
      <c r="M81" t="s">
        <v>30</v>
      </c>
      <c r="N81" t="s">
        <v>323</v>
      </c>
    </row>
    <row r="82" spans="1:14" x14ac:dyDescent="0.35">
      <c r="A82" t="s">
        <v>324</v>
      </c>
      <c r="B82" t="s">
        <v>325</v>
      </c>
      <c r="C82" s="1">
        <v>45151</v>
      </c>
      <c r="D82" t="s">
        <v>66</v>
      </c>
      <c r="E82" t="s">
        <v>17</v>
      </c>
      <c r="F82" t="s">
        <v>39</v>
      </c>
      <c r="G82" t="s">
        <v>140</v>
      </c>
      <c r="H82">
        <v>4</v>
      </c>
      <c r="I82">
        <v>336000</v>
      </c>
      <c r="J82" t="s">
        <v>28</v>
      </c>
      <c r="K82" t="s">
        <v>41</v>
      </c>
      <c r="L82">
        <v>54</v>
      </c>
      <c r="M82" t="s">
        <v>30</v>
      </c>
      <c r="N82" t="s">
        <v>326</v>
      </c>
    </row>
    <row r="83" spans="1:14" x14ac:dyDescent="0.35">
      <c r="A83" t="s">
        <v>327</v>
      </c>
      <c r="B83" t="s">
        <v>328</v>
      </c>
      <c r="C83" s="1">
        <v>45305</v>
      </c>
      <c r="D83" t="s">
        <v>72</v>
      </c>
      <c r="E83" t="s">
        <v>34</v>
      </c>
      <c r="F83" t="s">
        <v>163</v>
      </c>
      <c r="G83" t="s">
        <v>201</v>
      </c>
      <c r="H83">
        <v>1</v>
      </c>
      <c r="I83">
        <v>63000</v>
      </c>
      <c r="J83" t="s">
        <v>46</v>
      </c>
      <c r="K83" t="s">
        <v>41</v>
      </c>
      <c r="L83">
        <v>31</v>
      </c>
      <c r="M83" t="s">
        <v>22</v>
      </c>
      <c r="N83" t="s">
        <v>329</v>
      </c>
    </row>
    <row r="84" spans="1:14" x14ac:dyDescent="0.35">
      <c r="A84" t="s">
        <v>330</v>
      </c>
      <c r="B84" t="s">
        <v>331</v>
      </c>
      <c r="C84" s="1">
        <v>45692</v>
      </c>
      <c r="D84" t="s">
        <v>66</v>
      </c>
      <c r="E84" t="s">
        <v>55</v>
      </c>
      <c r="F84" t="s">
        <v>56</v>
      </c>
      <c r="G84" t="s">
        <v>116</v>
      </c>
      <c r="H84">
        <v>2</v>
      </c>
      <c r="I84">
        <v>168000</v>
      </c>
      <c r="J84" t="s">
        <v>83</v>
      </c>
      <c r="K84" t="s">
        <v>41</v>
      </c>
      <c r="L84">
        <v>58</v>
      </c>
      <c r="M84" t="s">
        <v>22</v>
      </c>
      <c r="N84" t="s">
        <v>332</v>
      </c>
    </row>
    <row r="85" spans="1:14" x14ac:dyDescent="0.35">
      <c r="A85" t="s">
        <v>333</v>
      </c>
      <c r="B85" t="s">
        <v>334</v>
      </c>
      <c r="C85" s="1">
        <v>45242</v>
      </c>
      <c r="D85" t="s">
        <v>72</v>
      </c>
      <c r="E85" t="s">
        <v>34</v>
      </c>
      <c r="F85" t="s">
        <v>61</v>
      </c>
      <c r="G85" t="s">
        <v>156</v>
      </c>
      <c r="H85">
        <v>4</v>
      </c>
      <c r="I85">
        <v>252000</v>
      </c>
      <c r="J85" t="s">
        <v>108</v>
      </c>
      <c r="K85" t="s">
        <v>41</v>
      </c>
      <c r="L85">
        <v>46</v>
      </c>
      <c r="M85" t="s">
        <v>30</v>
      </c>
      <c r="N85" t="s">
        <v>335</v>
      </c>
    </row>
    <row r="86" spans="1:14" x14ac:dyDescent="0.35">
      <c r="A86" t="s">
        <v>336</v>
      </c>
      <c r="B86" t="s">
        <v>337</v>
      </c>
      <c r="C86" s="1">
        <v>45257</v>
      </c>
      <c r="D86" t="s">
        <v>16</v>
      </c>
      <c r="E86" t="s">
        <v>17</v>
      </c>
      <c r="F86" t="s">
        <v>61</v>
      </c>
      <c r="G86" t="s">
        <v>156</v>
      </c>
      <c r="H86">
        <v>3</v>
      </c>
      <c r="I86">
        <v>420000</v>
      </c>
      <c r="J86" t="s">
        <v>108</v>
      </c>
      <c r="K86" t="s">
        <v>41</v>
      </c>
      <c r="L86">
        <v>57</v>
      </c>
      <c r="M86" t="s">
        <v>30</v>
      </c>
      <c r="N86" t="s">
        <v>338</v>
      </c>
    </row>
    <row r="87" spans="1:14" x14ac:dyDescent="0.35">
      <c r="A87" t="s">
        <v>339</v>
      </c>
      <c r="B87" t="s">
        <v>340</v>
      </c>
      <c r="C87" s="1">
        <v>45443</v>
      </c>
      <c r="D87" t="s">
        <v>72</v>
      </c>
      <c r="E87" t="s">
        <v>55</v>
      </c>
      <c r="F87" t="s">
        <v>50</v>
      </c>
      <c r="G87" t="s">
        <v>148</v>
      </c>
      <c r="H87">
        <v>1</v>
      </c>
      <c r="I87">
        <v>63000</v>
      </c>
      <c r="J87" t="s">
        <v>28</v>
      </c>
      <c r="K87" t="s">
        <v>41</v>
      </c>
      <c r="L87">
        <v>27</v>
      </c>
      <c r="M87" t="s">
        <v>30</v>
      </c>
      <c r="N87" t="s">
        <v>341</v>
      </c>
    </row>
    <row r="88" spans="1:14" x14ac:dyDescent="0.35">
      <c r="A88" t="s">
        <v>342</v>
      </c>
      <c r="B88" t="s">
        <v>343</v>
      </c>
      <c r="C88" s="1">
        <v>45362</v>
      </c>
      <c r="D88" t="s">
        <v>16</v>
      </c>
      <c r="E88" t="s">
        <v>34</v>
      </c>
      <c r="F88" t="s">
        <v>50</v>
      </c>
      <c r="G88" t="s">
        <v>107</v>
      </c>
      <c r="H88">
        <v>4</v>
      </c>
      <c r="I88">
        <v>560000</v>
      </c>
      <c r="J88" t="s">
        <v>20</v>
      </c>
      <c r="K88" t="s">
        <v>41</v>
      </c>
      <c r="L88">
        <v>56</v>
      </c>
      <c r="M88" t="s">
        <v>30</v>
      </c>
      <c r="N88" t="s">
        <v>344</v>
      </c>
    </row>
    <row r="89" spans="1:14" x14ac:dyDescent="0.35">
      <c r="A89" t="s">
        <v>345</v>
      </c>
      <c r="B89" t="s">
        <v>346</v>
      </c>
      <c r="C89" s="1">
        <v>45565</v>
      </c>
      <c r="D89" t="s">
        <v>72</v>
      </c>
      <c r="E89" t="s">
        <v>17</v>
      </c>
      <c r="F89" t="s">
        <v>61</v>
      </c>
      <c r="G89" t="s">
        <v>290</v>
      </c>
      <c r="H89">
        <v>5</v>
      </c>
      <c r="I89">
        <v>225000</v>
      </c>
      <c r="J89" t="s">
        <v>46</v>
      </c>
      <c r="K89" t="s">
        <v>29</v>
      </c>
      <c r="L89">
        <v>40</v>
      </c>
      <c r="M89" t="s">
        <v>30</v>
      </c>
      <c r="N89" t="s">
        <v>347</v>
      </c>
    </row>
    <row r="90" spans="1:14" x14ac:dyDescent="0.35">
      <c r="A90" t="s">
        <v>348</v>
      </c>
      <c r="B90" t="s">
        <v>349</v>
      </c>
      <c r="C90" s="1">
        <v>45290</v>
      </c>
      <c r="D90" t="s">
        <v>66</v>
      </c>
      <c r="E90" t="s">
        <v>34</v>
      </c>
      <c r="F90" t="s">
        <v>50</v>
      </c>
      <c r="G90" t="s">
        <v>132</v>
      </c>
      <c r="H90">
        <v>4</v>
      </c>
      <c r="I90">
        <v>336000</v>
      </c>
      <c r="J90" t="s">
        <v>46</v>
      </c>
      <c r="K90" t="s">
        <v>41</v>
      </c>
      <c r="L90">
        <v>22</v>
      </c>
      <c r="M90" t="s">
        <v>30</v>
      </c>
      <c r="N90" t="s">
        <v>350</v>
      </c>
    </row>
    <row r="91" spans="1:14" x14ac:dyDescent="0.35">
      <c r="A91" t="s">
        <v>351</v>
      </c>
      <c r="B91" t="s">
        <v>352</v>
      </c>
      <c r="C91" s="1">
        <v>45703</v>
      </c>
      <c r="D91" t="s">
        <v>66</v>
      </c>
      <c r="E91" t="s">
        <v>17</v>
      </c>
      <c r="F91" t="s">
        <v>50</v>
      </c>
      <c r="G91" t="s">
        <v>148</v>
      </c>
      <c r="H91">
        <v>1</v>
      </c>
      <c r="I91">
        <v>84000</v>
      </c>
      <c r="J91" t="s">
        <v>28</v>
      </c>
      <c r="K91" t="s">
        <v>41</v>
      </c>
      <c r="L91">
        <v>45</v>
      </c>
      <c r="M91" t="s">
        <v>30</v>
      </c>
      <c r="N91" t="s">
        <v>353</v>
      </c>
    </row>
    <row r="92" spans="1:14" x14ac:dyDescent="0.35">
      <c r="A92" t="s">
        <v>354</v>
      </c>
      <c r="B92" t="s">
        <v>355</v>
      </c>
      <c r="C92" s="1">
        <v>45243</v>
      </c>
      <c r="D92" t="s">
        <v>45</v>
      </c>
      <c r="E92" t="s">
        <v>34</v>
      </c>
      <c r="F92" t="s">
        <v>56</v>
      </c>
      <c r="G92" t="s">
        <v>144</v>
      </c>
      <c r="H92">
        <v>3</v>
      </c>
      <c r="I92">
        <v>324000</v>
      </c>
      <c r="J92" t="s">
        <v>46</v>
      </c>
      <c r="K92" t="s">
        <v>21</v>
      </c>
      <c r="L92">
        <v>19</v>
      </c>
      <c r="M92" t="s">
        <v>22</v>
      </c>
      <c r="N92" t="s">
        <v>356</v>
      </c>
    </row>
    <row r="93" spans="1:14" x14ac:dyDescent="0.35">
      <c r="A93" t="s">
        <v>357</v>
      </c>
      <c r="B93" t="s">
        <v>358</v>
      </c>
      <c r="C93" s="1">
        <v>45528</v>
      </c>
      <c r="D93" t="s">
        <v>45</v>
      </c>
      <c r="E93" t="s">
        <v>55</v>
      </c>
      <c r="F93" t="s">
        <v>67</v>
      </c>
      <c r="G93" t="s">
        <v>128</v>
      </c>
      <c r="H93">
        <v>3</v>
      </c>
      <c r="I93">
        <v>324000</v>
      </c>
      <c r="J93" t="s">
        <v>108</v>
      </c>
      <c r="K93" t="s">
        <v>21</v>
      </c>
      <c r="L93">
        <v>33</v>
      </c>
      <c r="M93" t="s">
        <v>22</v>
      </c>
      <c r="N93" t="s">
        <v>359</v>
      </c>
    </row>
    <row r="94" spans="1:14" x14ac:dyDescent="0.35">
      <c r="A94" t="s">
        <v>360</v>
      </c>
      <c r="B94" t="s">
        <v>361</v>
      </c>
      <c r="C94" s="1">
        <v>45176</v>
      </c>
      <c r="D94" t="s">
        <v>72</v>
      </c>
      <c r="E94" t="s">
        <v>17</v>
      </c>
      <c r="F94" t="s">
        <v>56</v>
      </c>
      <c r="G94" t="s">
        <v>57</v>
      </c>
      <c r="H94">
        <v>4</v>
      </c>
      <c r="I94">
        <v>180000</v>
      </c>
      <c r="J94" t="s">
        <v>83</v>
      </c>
      <c r="K94" t="s">
        <v>29</v>
      </c>
      <c r="L94">
        <v>14</v>
      </c>
      <c r="M94" t="s">
        <v>22</v>
      </c>
      <c r="N94" t="s">
        <v>362</v>
      </c>
    </row>
    <row r="95" spans="1:14" x14ac:dyDescent="0.35">
      <c r="A95" t="s">
        <v>363</v>
      </c>
      <c r="B95" t="s">
        <v>364</v>
      </c>
      <c r="C95" s="1">
        <v>45084</v>
      </c>
      <c r="D95" t="s">
        <v>66</v>
      </c>
      <c r="E95" t="s">
        <v>17</v>
      </c>
      <c r="F95" t="s">
        <v>26</v>
      </c>
      <c r="G95" t="s">
        <v>35</v>
      </c>
      <c r="H95">
        <v>5</v>
      </c>
      <c r="I95">
        <v>420000</v>
      </c>
      <c r="J95" t="s">
        <v>46</v>
      </c>
      <c r="K95" t="s">
        <v>41</v>
      </c>
      <c r="L95">
        <v>8</v>
      </c>
      <c r="M95" t="s">
        <v>30</v>
      </c>
      <c r="N95" t="s">
        <v>365</v>
      </c>
    </row>
    <row r="96" spans="1:14" x14ac:dyDescent="0.35">
      <c r="A96" t="s">
        <v>366</v>
      </c>
      <c r="B96" t="s">
        <v>367</v>
      </c>
      <c r="C96" s="1">
        <v>45699</v>
      </c>
      <c r="D96" t="s">
        <v>72</v>
      </c>
      <c r="E96" t="s">
        <v>55</v>
      </c>
      <c r="F96" t="s">
        <v>56</v>
      </c>
      <c r="G96" t="s">
        <v>152</v>
      </c>
      <c r="H96">
        <v>5</v>
      </c>
      <c r="I96">
        <v>270000</v>
      </c>
      <c r="J96" t="s">
        <v>83</v>
      </c>
      <c r="K96" t="s">
        <v>21</v>
      </c>
      <c r="L96">
        <v>5</v>
      </c>
      <c r="M96" t="s">
        <v>30</v>
      </c>
      <c r="N96" t="s">
        <v>368</v>
      </c>
    </row>
    <row r="97" spans="1:14" x14ac:dyDescent="0.35">
      <c r="A97" t="s">
        <v>369</v>
      </c>
      <c r="B97" t="s">
        <v>370</v>
      </c>
      <c r="C97" s="1">
        <v>45229</v>
      </c>
      <c r="D97" t="s">
        <v>16</v>
      </c>
      <c r="E97" t="s">
        <v>34</v>
      </c>
      <c r="F97" t="s">
        <v>50</v>
      </c>
      <c r="G97" t="s">
        <v>73</v>
      </c>
      <c r="H97">
        <v>4</v>
      </c>
      <c r="I97">
        <v>560000</v>
      </c>
      <c r="J97" t="s">
        <v>108</v>
      </c>
      <c r="K97" t="s">
        <v>41</v>
      </c>
      <c r="L97">
        <v>26</v>
      </c>
      <c r="M97" t="s">
        <v>30</v>
      </c>
      <c r="N97" t="s">
        <v>371</v>
      </c>
    </row>
    <row r="98" spans="1:14" x14ac:dyDescent="0.35">
      <c r="A98" t="s">
        <v>372</v>
      </c>
      <c r="B98" t="s">
        <v>373</v>
      </c>
      <c r="C98" s="1">
        <v>45686</v>
      </c>
      <c r="D98" t="s">
        <v>72</v>
      </c>
      <c r="E98" t="s">
        <v>34</v>
      </c>
      <c r="F98" t="s">
        <v>26</v>
      </c>
      <c r="G98" t="s">
        <v>27</v>
      </c>
      <c r="H98">
        <v>2</v>
      </c>
      <c r="I98">
        <v>108000</v>
      </c>
      <c r="J98" t="s">
        <v>20</v>
      </c>
      <c r="K98" t="s">
        <v>21</v>
      </c>
      <c r="L98">
        <v>31</v>
      </c>
      <c r="M98" t="s">
        <v>30</v>
      </c>
      <c r="N98" t="s">
        <v>374</v>
      </c>
    </row>
    <row r="99" spans="1:14" x14ac:dyDescent="0.35">
      <c r="A99" t="s">
        <v>375</v>
      </c>
      <c r="B99" t="s">
        <v>376</v>
      </c>
      <c r="C99" s="1">
        <v>45497</v>
      </c>
      <c r="D99" t="s">
        <v>66</v>
      </c>
      <c r="E99" t="s">
        <v>55</v>
      </c>
      <c r="F99" t="s">
        <v>61</v>
      </c>
      <c r="G99" t="s">
        <v>156</v>
      </c>
      <c r="H99">
        <v>1</v>
      </c>
      <c r="I99">
        <v>84000</v>
      </c>
      <c r="J99" t="s">
        <v>46</v>
      </c>
      <c r="K99" t="s">
        <v>41</v>
      </c>
      <c r="L99">
        <v>20</v>
      </c>
      <c r="M99" t="s">
        <v>30</v>
      </c>
      <c r="N99" t="s">
        <v>377</v>
      </c>
    </row>
    <row r="100" spans="1:14" x14ac:dyDescent="0.35">
      <c r="A100" t="s">
        <v>378</v>
      </c>
      <c r="B100" t="s">
        <v>379</v>
      </c>
      <c r="C100" s="1">
        <v>45494</v>
      </c>
      <c r="D100" t="s">
        <v>66</v>
      </c>
      <c r="E100" t="s">
        <v>17</v>
      </c>
      <c r="F100" t="s">
        <v>26</v>
      </c>
      <c r="G100" t="s">
        <v>221</v>
      </c>
      <c r="H100">
        <v>5</v>
      </c>
      <c r="I100">
        <v>300000</v>
      </c>
      <c r="J100" t="s">
        <v>108</v>
      </c>
      <c r="K100" t="s">
        <v>29</v>
      </c>
      <c r="L100">
        <v>22</v>
      </c>
      <c r="M100" t="s">
        <v>22</v>
      </c>
      <c r="N100" t="s">
        <v>380</v>
      </c>
    </row>
    <row r="101" spans="1:14" x14ac:dyDescent="0.35">
      <c r="A101" t="s">
        <v>381</v>
      </c>
      <c r="B101" t="s">
        <v>382</v>
      </c>
      <c r="C101" s="1">
        <v>45710</v>
      </c>
      <c r="D101" t="s">
        <v>45</v>
      </c>
      <c r="E101" t="s">
        <v>17</v>
      </c>
      <c r="F101" t="s">
        <v>77</v>
      </c>
      <c r="G101" t="s">
        <v>383</v>
      </c>
      <c r="H101">
        <v>4</v>
      </c>
      <c r="I101">
        <v>360000</v>
      </c>
      <c r="J101" t="s">
        <v>83</v>
      </c>
      <c r="K101" t="s">
        <v>29</v>
      </c>
      <c r="L101">
        <v>53</v>
      </c>
      <c r="M101" t="s">
        <v>30</v>
      </c>
      <c r="N101" t="s">
        <v>384</v>
      </c>
    </row>
    <row r="102" spans="1:14" x14ac:dyDescent="0.35">
      <c r="A102" t="s">
        <v>385</v>
      </c>
      <c r="B102" t="s">
        <v>386</v>
      </c>
      <c r="C102" s="1">
        <v>45741</v>
      </c>
      <c r="D102" t="s">
        <v>16</v>
      </c>
      <c r="E102" t="s">
        <v>17</v>
      </c>
      <c r="F102" t="s">
        <v>163</v>
      </c>
      <c r="G102" t="s">
        <v>164</v>
      </c>
      <c r="H102">
        <v>5</v>
      </c>
      <c r="I102">
        <v>500000</v>
      </c>
      <c r="J102" t="s">
        <v>28</v>
      </c>
      <c r="K102" t="s">
        <v>29</v>
      </c>
      <c r="L102">
        <v>33</v>
      </c>
      <c r="M102" t="s">
        <v>30</v>
      </c>
      <c r="N102" t="s">
        <v>387</v>
      </c>
    </row>
    <row r="103" spans="1:14" x14ac:dyDescent="0.35">
      <c r="A103" t="s">
        <v>388</v>
      </c>
      <c r="B103" t="s">
        <v>389</v>
      </c>
      <c r="C103" s="1">
        <v>45378</v>
      </c>
      <c r="D103" t="s">
        <v>66</v>
      </c>
      <c r="E103" t="s">
        <v>17</v>
      </c>
      <c r="F103" t="s">
        <v>252</v>
      </c>
      <c r="G103" t="s">
        <v>257</v>
      </c>
      <c r="H103">
        <v>5</v>
      </c>
      <c r="I103">
        <v>360000</v>
      </c>
      <c r="J103" t="s">
        <v>46</v>
      </c>
      <c r="K103" t="s">
        <v>21</v>
      </c>
      <c r="L103">
        <v>13</v>
      </c>
      <c r="M103" t="s">
        <v>30</v>
      </c>
      <c r="N103" t="s">
        <v>390</v>
      </c>
    </row>
    <row r="104" spans="1:14" x14ac:dyDescent="0.35">
      <c r="A104" t="s">
        <v>391</v>
      </c>
      <c r="B104" t="s">
        <v>392</v>
      </c>
      <c r="C104" s="1">
        <v>45698</v>
      </c>
      <c r="D104" t="s">
        <v>72</v>
      </c>
      <c r="E104" t="s">
        <v>17</v>
      </c>
      <c r="F104" t="s">
        <v>39</v>
      </c>
      <c r="G104" t="s">
        <v>393</v>
      </c>
      <c r="H104">
        <v>4</v>
      </c>
      <c r="I104">
        <v>216000</v>
      </c>
      <c r="J104" t="s">
        <v>46</v>
      </c>
      <c r="K104" t="s">
        <v>21</v>
      </c>
      <c r="L104">
        <v>28</v>
      </c>
      <c r="M104" t="s">
        <v>30</v>
      </c>
      <c r="N104" t="s">
        <v>394</v>
      </c>
    </row>
    <row r="105" spans="1:14" x14ac:dyDescent="0.35">
      <c r="A105" t="s">
        <v>395</v>
      </c>
      <c r="B105" t="s">
        <v>396</v>
      </c>
      <c r="C105" s="1">
        <v>45246</v>
      </c>
      <c r="D105" t="s">
        <v>66</v>
      </c>
      <c r="E105" t="s">
        <v>17</v>
      </c>
      <c r="F105" t="s">
        <v>26</v>
      </c>
      <c r="G105" t="s">
        <v>27</v>
      </c>
      <c r="H105">
        <v>1</v>
      </c>
      <c r="I105">
        <v>60000</v>
      </c>
      <c r="J105" t="s">
        <v>20</v>
      </c>
      <c r="K105" t="s">
        <v>29</v>
      </c>
      <c r="L105">
        <v>24</v>
      </c>
      <c r="M105" t="s">
        <v>30</v>
      </c>
      <c r="N105" t="s">
        <v>397</v>
      </c>
    </row>
    <row r="106" spans="1:14" x14ac:dyDescent="0.35">
      <c r="A106" t="s">
        <v>398</v>
      </c>
      <c r="B106" t="s">
        <v>399</v>
      </c>
      <c r="C106" s="1">
        <v>45769</v>
      </c>
      <c r="D106" t="s">
        <v>16</v>
      </c>
      <c r="E106" t="s">
        <v>34</v>
      </c>
      <c r="F106" t="s">
        <v>163</v>
      </c>
      <c r="G106" t="s">
        <v>282</v>
      </c>
      <c r="H106">
        <v>2</v>
      </c>
      <c r="I106">
        <v>200000</v>
      </c>
      <c r="J106" t="s">
        <v>28</v>
      </c>
      <c r="K106" t="s">
        <v>29</v>
      </c>
      <c r="L106">
        <v>52</v>
      </c>
      <c r="M106" t="s">
        <v>30</v>
      </c>
      <c r="N106" t="s">
        <v>400</v>
      </c>
    </row>
    <row r="107" spans="1:14" x14ac:dyDescent="0.35">
      <c r="A107" t="s">
        <v>401</v>
      </c>
      <c r="B107" t="s">
        <v>402</v>
      </c>
      <c r="C107" s="1">
        <v>45578</v>
      </c>
      <c r="D107" t="s">
        <v>66</v>
      </c>
      <c r="E107" t="s">
        <v>34</v>
      </c>
      <c r="F107" t="s">
        <v>26</v>
      </c>
      <c r="G107" t="s">
        <v>124</v>
      </c>
      <c r="H107">
        <v>1</v>
      </c>
      <c r="I107">
        <v>72000</v>
      </c>
      <c r="J107" t="s">
        <v>46</v>
      </c>
      <c r="K107" t="s">
        <v>21</v>
      </c>
      <c r="L107">
        <v>41</v>
      </c>
      <c r="M107" t="s">
        <v>30</v>
      </c>
      <c r="N107" t="s">
        <v>403</v>
      </c>
    </row>
    <row r="108" spans="1:14" x14ac:dyDescent="0.35">
      <c r="A108" t="s">
        <v>404</v>
      </c>
      <c r="B108" t="s">
        <v>405</v>
      </c>
      <c r="C108" s="1">
        <v>45687</v>
      </c>
      <c r="D108" t="s">
        <v>16</v>
      </c>
      <c r="E108" t="s">
        <v>17</v>
      </c>
      <c r="F108" t="s">
        <v>50</v>
      </c>
      <c r="G108" t="s">
        <v>73</v>
      </c>
      <c r="H108">
        <v>5</v>
      </c>
      <c r="I108">
        <v>500000</v>
      </c>
      <c r="J108" t="s">
        <v>83</v>
      </c>
      <c r="K108" t="s">
        <v>29</v>
      </c>
      <c r="L108">
        <v>29</v>
      </c>
      <c r="M108" t="s">
        <v>30</v>
      </c>
      <c r="N108" t="s">
        <v>406</v>
      </c>
    </row>
    <row r="109" spans="1:14" x14ac:dyDescent="0.35">
      <c r="A109" t="s">
        <v>407</v>
      </c>
      <c r="B109" t="s">
        <v>408</v>
      </c>
      <c r="C109" s="1">
        <v>45100</v>
      </c>
      <c r="D109" t="s">
        <v>72</v>
      </c>
      <c r="E109" t="s">
        <v>55</v>
      </c>
      <c r="F109" t="s">
        <v>39</v>
      </c>
      <c r="G109" t="s">
        <v>140</v>
      </c>
      <c r="H109">
        <v>3</v>
      </c>
      <c r="I109">
        <v>189000</v>
      </c>
      <c r="J109" t="s">
        <v>20</v>
      </c>
      <c r="K109" t="s">
        <v>41</v>
      </c>
      <c r="L109">
        <v>11</v>
      </c>
      <c r="M109" t="s">
        <v>22</v>
      </c>
      <c r="N109" t="s">
        <v>409</v>
      </c>
    </row>
    <row r="110" spans="1:14" x14ac:dyDescent="0.35">
      <c r="A110" t="s">
        <v>410</v>
      </c>
      <c r="B110" t="s">
        <v>411</v>
      </c>
      <c r="C110" s="1">
        <v>45571</v>
      </c>
      <c r="D110" t="s">
        <v>16</v>
      </c>
      <c r="E110" t="s">
        <v>17</v>
      </c>
      <c r="F110" t="s">
        <v>26</v>
      </c>
      <c r="G110" t="s">
        <v>87</v>
      </c>
      <c r="H110">
        <v>1</v>
      </c>
      <c r="I110">
        <v>100000</v>
      </c>
      <c r="J110" t="s">
        <v>108</v>
      </c>
      <c r="K110" t="s">
        <v>29</v>
      </c>
      <c r="L110">
        <v>45</v>
      </c>
      <c r="M110" t="s">
        <v>22</v>
      </c>
      <c r="N110" t="s">
        <v>412</v>
      </c>
    </row>
    <row r="111" spans="1:14" x14ac:dyDescent="0.35">
      <c r="A111" t="s">
        <v>413</v>
      </c>
      <c r="B111" t="s">
        <v>414</v>
      </c>
      <c r="C111" s="1">
        <v>45604</v>
      </c>
      <c r="D111" t="s">
        <v>66</v>
      </c>
      <c r="E111" t="s">
        <v>55</v>
      </c>
      <c r="F111" t="s">
        <v>50</v>
      </c>
      <c r="G111" t="s">
        <v>148</v>
      </c>
      <c r="H111">
        <v>5</v>
      </c>
      <c r="I111">
        <v>360000</v>
      </c>
      <c r="J111" t="s">
        <v>108</v>
      </c>
      <c r="K111" t="s">
        <v>21</v>
      </c>
      <c r="L111">
        <v>38</v>
      </c>
      <c r="M111" t="s">
        <v>30</v>
      </c>
      <c r="N111" t="s">
        <v>415</v>
      </c>
    </row>
    <row r="112" spans="1:14" x14ac:dyDescent="0.35">
      <c r="A112" t="s">
        <v>416</v>
      </c>
      <c r="B112" t="s">
        <v>417</v>
      </c>
      <c r="C112" s="1">
        <v>45180</v>
      </c>
      <c r="D112" t="s">
        <v>45</v>
      </c>
      <c r="E112" t="s">
        <v>17</v>
      </c>
      <c r="F112" t="s">
        <v>18</v>
      </c>
      <c r="G112" t="s">
        <v>297</v>
      </c>
      <c r="H112">
        <v>3</v>
      </c>
      <c r="I112">
        <v>270000</v>
      </c>
      <c r="J112" t="s">
        <v>28</v>
      </c>
      <c r="K112" t="s">
        <v>29</v>
      </c>
      <c r="L112">
        <v>18</v>
      </c>
      <c r="M112" t="s">
        <v>30</v>
      </c>
      <c r="N112" t="s">
        <v>418</v>
      </c>
    </row>
    <row r="113" spans="1:14" x14ac:dyDescent="0.35">
      <c r="A113" t="s">
        <v>419</v>
      </c>
      <c r="B113" t="s">
        <v>420</v>
      </c>
      <c r="C113" s="1">
        <v>45692</v>
      </c>
      <c r="D113" t="s">
        <v>16</v>
      </c>
      <c r="E113" t="s">
        <v>17</v>
      </c>
      <c r="F113" t="s">
        <v>163</v>
      </c>
      <c r="G113" t="s">
        <v>214</v>
      </c>
      <c r="H113">
        <v>5</v>
      </c>
      <c r="I113">
        <v>700000</v>
      </c>
      <c r="J113" t="s">
        <v>83</v>
      </c>
      <c r="K113" t="s">
        <v>41</v>
      </c>
      <c r="L113">
        <v>49</v>
      </c>
      <c r="M113" t="s">
        <v>30</v>
      </c>
      <c r="N113" t="s">
        <v>421</v>
      </c>
    </row>
    <row r="114" spans="1:14" x14ac:dyDescent="0.35">
      <c r="A114" t="s">
        <v>422</v>
      </c>
      <c r="B114" t="s">
        <v>423</v>
      </c>
      <c r="C114" s="1">
        <v>45370</v>
      </c>
      <c r="D114" t="s">
        <v>66</v>
      </c>
      <c r="E114" t="s">
        <v>34</v>
      </c>
      <c r="F114" t="s">
        <v>61</v>
      </c>
      <c r="G114" t="s">
        <v>99</v>
      </c>
      <c r="H114">
        <v>5</v>
      </c>
      <c r="I114">
        <v>360000</v>
      </c>
      <c r="J114" t="s">
        <v>28</v>
      </c>
      <c r="K114" t="s">
        <v>21</v>
      </c>
      <c r="L114">
        <v>19</v>
      </c>
      <c r="M114" t="s">
        <v>22</v>
      </c>
      <c r="N114" t="s">
        <v>424</v>
      </c>
    </row>
    <row r="115" spans="1:14" x14ac:dyDescent="0.35">
      <c r="A115" t="s">
        <v>425</v>
      </c>
      <c r="B115" t="s">
        <v>426</v>
      </c>
      <c r="C115" s="1">
        <v>45240</v>
      </c>
      <c r="D115" t="s">
        <v>16</v>
      </c>
      <c r="E115" t="s">
        <v>17</v>
      </c>
      <c r="F115" t="s">
        <v>50</v>
      </c>
      <c r="G115" t="s">
        <v>107</v>
      </c>
      <c r="H115">
        <v>2</v>
      </c>
      <c r="I115">
        <v>280000</v>
      </c>
      <c r="J115" t="s">
        <v>28</v>
      </c>
      <c r="K115" t="s">
        <v>41</v>
      </c>
      <c r="L115">
        <v>38</v>
      </c>
      <c r="M115" t="s">
        <v>30</v>
      </c>
      <c r="N115" t="s">
        <v>427</v>
      </c>
    </row>
    <row r="116" spans="1:14" x14ac:dyDescent="0.35">
      <c r="A116" t="s">
        <v>428</v>
      </c>
      <c r="B116" t="s">
        <v>429</v>
      </c>
      <c r="C116" s="1">
        <v>45391</v>
      </c>
      <c r="D116" t="s">
        <v>72</v>
      </c>
      <c r="E116" t="s">
        <v>34</v>
      </c>
      <c r="F116" t="s">
        <v>77</v>
      </c>
      <c r="G116" t="s">
        <v>78</v>
      </c>
      <c r="H116">
        <v>4</v>
      </c>
      <c r="I116">
        <v>216000</v>
      </c>
      <c r="J116" t="s">
        <v>108</v>
      </c>
      <c r="K116" t="s">
        <v>21</v>
      </c>
      <c r="L116">
        <v>46</v>
      </c>
      <c r="M116" t="s">
        <v>22</v>
      </c>
      <c r="N116" t="s">
        <v>430</v>
      </c>
    </row>
    <row r="117" spans="1:14" x14ac:dyDescent="0.35">
      <c r="A117" t="s">
        <v>431</v>
      </c>
      <c r="B117" t="s">
        <v>432</v>
      </c>
      <c r="C117" s="1">
        <v>45685</v>
      </c>
      <c r="D117" t="s">
        <v>45</v>
      </c>
      <c r="E117" t="s">
        <v>17</v>
      </c>
      <c r="F117" t="s">
        <v>252</v>
      </c>
      <c r="G117" t="s">
        <v>257</v>
      </c>
      <c r="H117">
        <v>2</v>
      </c>
      <c r="I117">
        <v>180000</v>
      </c>
      <c r="J117" t="s">
        <v>108</v>
      </c>
      <c r="K117" t="s">
        <v>29</v>
      </c>
      <c r="L117">
        <v>13</v>
      </c>
      <c r="M117" t="s">
        <v>22</v>
      </c>
      <c r="N117" t="s">
        <v>433</v>
      </c>
    </row>
    <row r="118" spans="1:14" x14ac:dyDescent="0.35">
      <c r="A118" t="s">
        <v>434</v>
      </c>
      <c r="B118" t="s">
        <v>435</v>
      </c>
      <c r="C118" s="1">
        <v>45148</v>
      </c>
      <c r="D118" t="s">
        <v>45</v>
      </c>
      <c r="E118" t="s">
        <v>55</v>
      </c>
      <c r="F118" t="s">
        <v>77</v>
      </c>
      <c r="G118" t="s">
        <v>168</v>
      </c>
      <c r="H118">
        <v>3</v>
      </c>
      <c r="I118">
        <v>270000</v>
      </c>
      <c r="J118" t="s">
        <v>20</v>
      </c>
      <c r="K118" t="s">
        <v>29</v>
      </c>
      <c r="L118">
        <v>40</v>
      </c>
      <c r="M118" t="s">
        <v>30</v>
      </c>
      <c r="N118" t="s">
        <v>436</v>
      </c>
    </row>
    <row r="119" spans="1:14" x14ac:dyDescent="0.35">
      <c r="A119" t="s">
        <v>437</v>
      </c>
      <c r="B119" t="s">
        <v>438</v>
      </c>
      <c r="C119" s="1">
        <v>45487</v>
      </c>
      <c r="D119" t="s">
        <v>72</v>
      </c>
      <c r="E119" t="s">
        <v>17</v>
      </c>
      <c r="F119" t="s">
        <v>67</v>
      </c>
      <c r="G119" t="s">
        <v>112</v>
      </c>
      <c r="H119">
        <v>4</v>
      </c>
      <c r="I119">
        <v>252000</v>
      </c>
      <c r="J119" t="s">
        <v>108</v>
      </c>
      <c r="K119" t="s">
        <v>41</v>
      </c>
      <c r="L119">
        <v>58</v>
      </c>
      <c r="M119" t="s">
        <v>30</v>
      </c>
      <c r="N119" t="s">
        <v>439</v>
      </c>
    </row>
    <row r="120" spans="1:14" x14ac:dyDescent="0.35">
      <c r="A120" t="s">
        <v>440</v>
      </c>
      <c r="B120" t="s">
        <v>441</v>
      </c>
      <c r="C120" s="1">
        <v>45549</v>
      </c>
      <c r="D120" t="s">
        <v>45</v>
      </c>
      <c r="E120" t="s">
        <v>55</v>
      </c>
      <c r="F120" t="s">
        <v>56</v>
      </c>
      <c r="G120" t="s">
        <v>144</v>
      </c>
      <c r="H120">
        <v>3</v>
      </c>
      <c r="I120">
        <v>324000</v>
      </c>
      <c r="J120" t="s">
        <v>20</v>
      </c>
      <c r="K120" t="s">
        <v>21</v>
      </c>
      <c r="L120">
        <v>54</v>
      </c>
      <c r="M120" t="s">
        <v>30</v>
      </c>
      <c r="N120" t="s">
        <v>442</v>
      </c>
    </row>
    <row r="121" spans="1:14" x14ac:dyDescent="0.35">
      <c r="A121" t="s">
        <v>443</v>
      </c>
      <c r="B121" t="s">
        <v>444</v>
      </c>
      <c r="C121" s="1">
        <v>45588</v>
      </c>
      <c r="D121" t="s">
        <v>16</v>
      </c>
      <c r="E121" t="s">
        <v>34</v>
      </c>
      <c r="F121" t="s">
        <v>163</v>
      </c>
      <c r="G121" t="s">
        <v>201</v>
      </c>
      <c r="H121">
        <v>1</v>
      </c>
      <c r="I121">
        <v>100000</v>
      </c>
      <c r="J121" t="s">
        <v>46</v>
      </c>
      <c r="K121" t="s">
        <v>29</v>
      </c>
      <c r="L121">
        <v>38</v>
      </c>
      <c r="M121" t="s">
        <v>30</v>
      </c>
      <c r="N121" t="s">
        <v>445</v>
      </c>
    </row>
    <row r="122" spans="1:14" x14ac:dyDescent="0.35">
      <c r="A122" t="s">
        <v>446</v>
      </c>
      <c r="B122" t="s">
        <v>447</v>
      </c>
      <c r="C122" s="1">
        <v>45660</v>
      </c>
      <c r="D122" t="s">
        <v>72</v>
      </c>
      <c r="E122" t="s">
        <v>34</v>
      </c>
      <c r="F122" t="s">
        <v>67</v>
      </c>
      <c r="G122" t="s">
        <v>448</v>
      </c>
      <c r="H122">
        <v>2</v>
      </c>
      <c r="I122">
        <v>126000</v>
      </c>
      <c r="J122" t="s">
        <v>46</v>
      </c>
      <c r="K122" t="s">
        <v>41</v>
      </c>
      <c r="L122">
        <v>20</v>
      </c>
      <c r="M122" t="s">
        <v>30</v>
      </c>
      <c r="N122" t="s">
        <v>449</v>
      </c>
    </row>
    <row r="123" spans="1:14" x14ac:dyDescent="0.35">
      <c r="A123" t="s">
        <v>450</v>
      </c>
      <c r="B123" t="s">
        <v>451</v>
      </c>
      <c r="C123" s="1">
        <v>45178</v>
      </c>
      <c r="D123" t="s">
        <v>16</v>
      </c>
      <c r="E123" t="s">
        <v>55</v>
      </c>
      <c r="F123" t="s">
        <v>18</v>
      </c>
      <c r="G123" t="s">
        <v>452</v>
      </c>
      <c r="H123">
        <v>3</v>
      </c>
      <c r="I123">
        <v>300000</v>
      </c>
      <c r="J123" t="s">
        <v>108</v>
      </c>
      <c r="K123" t="s">
        <v>29</v>
      </c>
      <c r="L123">
        <v>42</v>
      </c>
      <c r="M123" t="s">
        <v>30</v>
      </c>
      <c r="N123" t="s">
        <v>453</v>
      </c>
    </row>
    <row r="124" spans="1:14" x14ac:dyDescent="0.35">
      <c r="A124" t="s">
        <v>454</v>
      </c>
      <c r="B124" t="s">
        <v>455</v>
      </c>
      <c r="C124" s="1">
        <v>45156</v>
      </c>
      <c r="D124" t="s">
        <v>72</v>
      </c>
      <c r="E124" t="s">
        <v>17</v>
      </c>
      <c r="F124" t="s">
        <v>61</v>
      </c>
      <c r="G124" t="s">
        <v>99</v>
      </c>
      <c r="H124">
        <v>1</v>
      </c>
      <c r="I124">
        <v>45000</v>
      </c>
      <c r="J124" t="s">
        <v>28</v>
      </c>
      <c r="K124" t="s">
        <v>29</v>
      </c>
      <c r="L124">
        <v>24</v>
      </c>
      <c r="M124" t="s">
        <v>30</v>
      </c>
      <c r="N124" t="s">
        <v>456</v>
      </c>
    </row>
    <row r="125" spans="1:14" x14ac:dyDescent="0.35">
      <c r="A125" t="s">
        <v>457</v>
      </c>
      <c r="B125" t="s">
        <v>458</v>
      </c>
      <c r="C125" s="1">
        <v>45755</v>
      </c>
      <c r="D125" t="s">
        <v>45</v>
      </c>
      <c r="E125" t="s">
        <v>34</v>
      </c>
      <c r="F125" t="s">
        <v>163</v>
      </c>
      <c r="G125" t="s">
        <v>282</v>
      </c>
      <c r="H125">
        <v>2</v>
      </c>
      <c r="I125">
        <v>216000</v>
      </c>
      <c r="J125" t="s">
        <v>46</v>
      </c>
      <c r="K125" t="s">
        <v>21</v>
      </c>
      <c r="L125">
        <v>45</v>
      </c>
      <c r="M125" t="s">
        <v>30</v>
      </c>
      <c r="N125" t="s">
        <v>459</v>
      </c>
    </row>
    <row r="126" spans="1:14" x14ac:dyDescent="0.35">
      <c r="A126" t="s">
        <v>460</v>
      </c>
      <c r="B126" t="s">
        <v>461</v>
      </c>
      <c r="C126" s="1">
        <v>45080</v>
      </c>
      <c r="D126" t="s">
        <v>72</v>
      </c>
      <c r="E126" t="s">
        <v>55</v>
      </c>
      <c r="F126" t="s">
        <v>39</v>
      </c>
      <c r="G126" t="s">
        <v>393</v>
      </c>
      <c r="H126">
        <v>5</v>
      </c>
      <c r="I126">
        <v>270000</v>
      </c>
      <c r="J126" t="s">
        <v>20</v>
      </c>
      <c r="K126" t="s">
        <v>21</v>
      </c>
      <c r="L126">
        <v>14</v>
      </c>
      <c r="M126" t="s">
        <v>22</v>
      </c>
      <c r="N126" t="s">
        <v>462</v>
      </c>
    </row>
    <row r="127" spans="1:14" x14ac:dyDescent="0.35">
      <c r="A127" t="s">
        <v>463</v>
      </c>
      <c r="B127" t="s">
        <v>464</v>
      </c>
      <c r="C127" s="1">
        <v>45554</v>
      </c>
      <c r="D127" t="s">
        <v>66</v>
      </c>
      <c r="E127" t="s">
        <v>55</v>
      </c>
      <c r="F127" t="s">
        <v>50</v>
      </c>
      <c r="G127" t="s">
        <v>107</v>
      </c>
      <c r="H127">
        <v>2</v>
      </c>
      <c r="I127">
        <v>144000</v>
      </c>
      <c r="J127" t="s">
        <v>46</v>
      </c>
      <c r="K127" t="s">
        <v>21</v>
      </c>
      <c r="L127">
        <v>57</v>
      </c>
      <c r="M127" t="s">
        <v>22</v>
      </c>
      <c r="N127" t="s">
        <v>465</v>
      </c>
    </row>
    <row r="128" spans="1:14" x14ac:dyDescent="0.35">
      <c r="A128" t="s">
        <v>466</v>
      </c>
      <c r="B128" t="s">
        <v>467</v>
      </c>
      <c r="C128" s="1">
        <v>45281</v>
      </c>
      <c r="D128" t="s">
        <v>66</v>
      </c>
      <c r="E128" t="s">
        <v>34</v>
      </c>
      <c r="F128" t="s">
        <v>61</v>
      </c>
      <c r="G128" t="s">
        <v>99</v>
      </c>
      <c r="H128">
        <v>5</v>
      </c>
      <c r="I128">
        <v>420000</v>
      </c>
      <c r="J128" t="s">
        <v>108</v>
      </c>
      <c r="K128" t="s">
        <v>41</v>
      </c>
      <c r="L128">
        <v>33</v>
      </c>
      <c r="M128" t="s">
        <v>30</v>
      </c>
      <c r="N128" t="s">
        <v>468</v>
      </c>
    </row>
    <row r="129" spans="1:14" x14ac:dyDescent="0.35">
      <c r="A129" t="s">
        <v>469</v>
      </c>
      <c r="B129" t="s">
        <v>470</v>
      </c>
      <c r="C129" s="1">
        <v>45726</v>
      </c>
      <c r="D129" t="s">
        <v>16</v>
      </c>
      <c r="E129" t="s">
        <v>17</v>
      </c>
      <c r="F129" t="s">
        <v>18</v>
      </c>
      <c r="G129" t="s">
        <v>452</v>
      </c>
      <c r="H129">
        <v>1</v>
      </c>
      <c r="I129">
        <v>140000</v>
      </c>
      <c r="J129" t="s">
        <v>20</v>
      </c>
      <c r="K129" t="s">
        <v>41</v>
      </c>
      <c r="L129">
        <v>18</v>
      </c>
      <c r="M129" t="s">
        <v>30</v>
      </c>
      <c r="N129" t="s">
        <v>471</v>
      </c>
    </row>
    <row r="130" spans="1:14" x14ac:dyDescent="0.35">
      <c r="A130" t="s">
        <v>472</v>
      </c>
      <c r="B130" t="s">
        <v>473</v>
      </c>
      <c r="C130" s="1">
        <v>45769</v>
      </c>
      <c r="D130" t="s">
        <v>66</v>
      </c>
      <c r="E130" t="s">
        <v>17</v>
      </c>
      <c r="F130" t="s">
        <v>163</v>
      </c>
      <c r="G130" t="s">
        <v>214</v>
      </c>
      <c r="H130">
        <v>4</v>
      </c>
      <c r="I130">
        <v>240000</v>
      </c>
      <c r="J130" t="s">
        <v>28</v>
      </c>
      <c r="K130" t="s">
        <v>29</v>
      </c>
      <c r="L130">
        <v>39</v>
      </c>
      <c r="M130" t="s">
        <v>22</v>
      </c>
      <c r="N130" t="s">
        <v>474</v>
      </c>
    </row>
    <row r="131" spans="1:14" x14ac:dyDescent="0.35">
      <c r="A131" t="s">
        <v>475</v>
      </c>
      <c r="B131" t="s">
        <v>476</v>
      </c>
      <c r="C131" s="1">
        <v>45521</v>
      </c>
      <c r="D131" t="s">
        <v>16</v>
      </c>
      <c r="E131" t="s">
        <v>34</v>
      </c>
      <c r="F131" t="s">
        <v>50</v>
      </c>
      <c r="G131" t="s">
        <v>51</v>
      </c>
      <c r="H131">
        <v>3</v>
      </c>
      <c r="I131">
        <v>300000</v>
      </c>
      <c r="J131" t="s">
        <v>20</v>
      </c>
      <c r="K131" t="s">
        <v>29</v>
      </c>
      <c r="L131">
        <v>38</v>
      </c>
      <c r="M131" t="s">
        <v>30</v>
      </c>
      <c r="N131" t="s">
        <v>477</v>
      </c>
    </row>
    <row r="132" spans="1:14" x14ac:dyDescent="0.35">
      <c r="A132" t="s">
        <v>478</v>
      </c>
      <c r="B132" t="s">
        <v>479</v>
      </c>
      <c r="C132" s="1">
        <v>45146</v>
      </c>
      <c r="D132" t="s">
        <v>66</v>
      </c>
      <c r="E132" t="s">
        <v>34</v>
      </c>
      <c r="F132" t="s">
        <v>50</v>
      </c>
      <c r="G132" t="s">
        <v>132</v>
      </c>
      <c r="H132">
        <v>2</v>
      </c>
      <c r="I132">
        <v>168000</v>
      </c>
      <c r="J132" t="s">
        <v>46</v>
      </c>
      <c r="K132" t="s">
        <v>41</v>
      </c>
      <c r="L132">
        <v>54</v>
      </c>
      <c r="M132" t="s">
        <v>22</v>
      </c>
      <c r="N132" t="s">
        <v>480</v>
      </c>
    </row>
    <row r="133" spans="1:14" x14ac:dyDescent="0.35">
      <c r="A133" t="s">
        <v>481</v>
      </c>
      <c r="B133" t="s">
        <v>482</v>
      </c>
      <c r="C133" s="1">
        <v>45077</v>
      </c>
      <c r="D133" t="s">
        <v>72</v>
      </c>
      <c r="E133" t="s">
        <v>55</v>
      </c>
      <c r="F133" t="s">
        <v>39</v>
      </c>
      <c r="G133" t="s">
        <v>82</v>
      </c>
      <c r="H133">
        <v>4</v>
      </c>
      <c r="I133">
        <v>180000</v>
      </c>
      <c r="J133" t="s">
        <v>108</v>
      </c>
      <c r="K133" t="s">
        <v>29</v>
      </c>
      <c r="L133">
        <v>40</v>
      </c>
      <c r="M133" t="s">
        <v>30</v>
      </c>
      <c r="N133" t="s">
        <v>483</v>
      </c>
    </row>
    <row r="134" spans="1:14" x14ac:dyDescent="0.35">
      <c r="A134" t="s">
        <v>484</v>
      </c>
      <c r="B134" t="s">
        <v>485</v>
      </c>
      <c r="C134" s="1">
        <v>45573</v>
      </c>
      <c r="D134" t="s">
        <v>45</v>
      </c>
      <c r="E134" t="s">
        <v>17</v>
      </c>
      <c r="F134" t="s">
        <v>163</v>
      </c>
      <c r="G134" t="s">
        <v>282</v>
      </c>
      <c r="H134">
        <v>5</v>
      </c>
      <c r="I134">
        <v>540000</v>
      </c>
      <c r="J134" t="s">
        <v>20</v>
      </c>
      <c r="K134" t="s">
        <v>21</v>
      </c>
      <c r="L134">
        <v>21</v>
      </c>
      <c r="M134" t="s">
        <v>22</v>
      </c>
      <c r="N134" t="s">
        <v>486</v>
      </c>
    </row>
    <row r="135" spans="1:14" x14ac:dyDescent="0.35">
      <c r="A135" t="s">
        <v>487</v>
      </c>
      <c r="B135" t="s">
        <v>488</v>
      </c>
      <c r="C135" s="1">
        <v>45190</v>
      </c>
      <c r="D135" t="s">
        <v>72</v>
      </c>
      <c r="E135" t="s">
        <v>17</v>
      </c>
      <c r="F135" t="s">
        <v>18</v>
      </c>
      <c r="G135" t="s">
        <v>181</v>
      </c>
      <c r="H135">
        <v>5</v>
      </c>
      <c r="I135">
        <v>315000</v>
      </c>
      <c r="J135" t="s">
        <v>28</v>
      </c>
      <c r="K135" t="s">
        <v>41</v>
      </c>
      <c r="L135">
        <v>39</v>
      </c>
      <c r="M135" t="s">
        <v>30</v>
      </c>
      <c r="N135" t="s">
        <v>489</v>
      </c>
    </row>
    <row r="136" spans="1:14" x14ac:dyDescent="0.35">
      <c r="A136" t="s">
        <v>490</v>
      </c>
      <c r="B136" t="s">
        <v>491</v>
      </c>
      <c r="C136" s="1">
        <v>45430</v>
      </c>
      <c r="D136" t="s">
        <v>16</v>
      </c>
      <c r="E136" t="s">
        <v>17</v>
      </c>
      <c r="F136" t="s">
        <v>252</v>
      </c>
      <c r="G136" t="s">
        <v>257</v>
      </c>
      <c r="H136">
        <v>1</v>
      </c>
      <c r="I136">
        <v>100000</v>
      </c>
      <c r="J136" t="s">
        <v>108</v>
      </c>
      <c r="K136" t="s">
        <v>29</v>
      </c>
      <c r="L136">
        <v>40</v>
      </c>
      <c r="M136" t="s">
        <v>30</v>
      </c>
      <c r="N136" t="s">
        <v>492</v>
      </c>
    </row>
    <row r="137" spans="1:14" x14ac:dyDescent="0.35">
      <c r="A137" t="s">
        <v>493</v>
      </c>
      <c r="B137" t="s">
        <v>494</v>
      </c>
      <c r="C137" s="1">
        <v>45530</v>
      </c>
      <c r="D137" t="s">
        <v>72</v>
      </c>
      <c r="E137" t="s">
        <v>17</v>
      </c>
      <c r="F137" t="s">
        <v>39</v>
      </c>
      <c r="G137" t="s">
        <v>40</v>
      </c>
      <c r="H137">
        <v>4</v>
      </c>
      <c r="I137">
        <v>216000</v>
      </c>
      <c r="J137" t="s">
        <v>108</v>
      </c>
      <c r="K137" t="s">
        <v>21</v>
      </c>
      <c r="L137">
        <v>14</v>
      </c>
      <c r="M137" t="s">
        <v>22</v>
      </c>
      <c r="N137" t="s">
        <v>495</v>
      </c>
    </row>
    <row r="138" spans="1:14" x14ac:dyDescent="0.35">
      <c r="A138" t="s">
        <v>496</v>
      </c>
      <c r="B138" t="s">
        <v>497</v>
      </c>
      <c r="C138" s="1">
        <v>45170</v>
      </c>
      <c r="D138" t="s">
        <v>72</v>
      </c>
      <c r="E138" t="s">
        <v>34</v>
      </c>
      <c r="F138" t="s">
        <v>39</v>
      </c>
      <c r="G138" t="s">
        <v>40</v>
      </c>
      <c r="H138">
        <v>2</v>
      </c>
      <c r="I138">
        <v>90000</v>
      </c>
      <c r="J138" t="s">
        <v>20</v>
      </c>
      <c r="K138" t="s">
        <v>29</v>
      </c>
      <c r="L138">
        <v>58</v>
      </c>
      <c r="M138" t="s">
        <v>22</v>
      </c>
      <c r="N138" t="s">
        <v>498</v>
      </c>
    </row>
    <row r="139" spans="1:14" x14ac:dyDescent="0.35">
      <c r="A139" t="s">
        <v>499</v>
      </c>
      <c r="B139" t="s">
        <v>500</v>
      </c>
      <c r="C139" s="1">
        <v>45430</v>
      </c>
      <c r="D139" t="s">
        <v>66</v>
      </c>
      <c r="E139" t="s">
        <v>17</v>
      </c>
      <c r="F139" t="s">
        <v>18</v>
      </c>
      <c r="G139" t="s">
        <v>19</v>
      </c>
      <c r="H139">
        <v>5</v>
      </c>
      <c r="I139">
        <v>420000</v>
      </c>
      <c r="J139" t="s">
        <v>20</v>
      </c>
      <c r="K139" t="s">
        <v>41</v>
      </c>
      <c r="L139">
        <v>35</v>
      </c>
      <c r="M139" t="s">
        <v>22</v>
      </c>
      <c r="N139" t="s">
        <v>501</v>
      </c>
    </row>
    <row r="140" spans="1:14" x14ac:dyDescent="0.35">
      <c r="A140" t="s">
        <v>502</v>
      </c>
      <c r="B140" t="s">
        <v>503</v>
      </c>
      <c r="C140" s="1">
        <v>45644</v>
      </c>
      <c r="D140" t="s">
        <v>66</v>
      </c>
      <c r="E140" t="s">
        <v>17</v>
      </c>
      <c r="F140" t="s">
        <v>252</v>
      </c>
      <c r="G140" t="s">
        <v>504</v>
      </c>
      <c r="H140">
        <v>1</v>
      </c>
      <c r="I140">
        <v>84000</v>
      </c>
      <c r="J140" t="s">
        <v>83</v>
      </c>
      <c r="K140" t="s">
        <v>41</v>
      </c>
      <c r="L140">
        <v>51</v>
      </c>
      <c r="M140" t="s">
        <v>22</v>
      </c>
      <c r="N140" t="s">
        <v>505</v>
      </c>
    </row>
    <row r="141" spans="1:14" x14ac:dyDescent="0.35">
      <c r="A141" t="s">
        <v>506</v>
      </c>
      <c r="B141" t="s">
        <v>507</v>
      </c>
      <c r="C141" s="1">
        <v>45663</v>
      </c>
      <c r="D141" t="s">
        <v>66</v>
      </c>
      <c r="E141" t="s">
        <v>17</v>
      </c>
      <c r="F141" t="s">
        <v>56</v>
      </c>
      <c r="G141" t="s">
        <v>508</v>
      </c>
      <c r="H141">
        <v>3</v>
      </c>
      <c r="I141">
        <v>180000</v>
      </c>
      <c r="J141" t="s">
        <v>46</v>
      </c>
      <c r="K141" t="s">
        <v>29</v>
      </c>
      <c r="L141">
        <v>6</v>
      </c>
      <c r="M141" t="s">
        <v>22</v>
      </c>
      <c r="N141" t="s">
        <v>509</v>
      </c>
    </row>
    <row r="142" spans="1:14" x14ac:dyDescent="0.35">
      <c r="A142" t="s">
        <v>510</v>
      </c>
      <c r="B142" t="s">
        <v>511</v>
      </c>
      <c r="C142" s="1">
        <v>45444</v>
      </c>
      <c r="D142" t="s">
        <v>45</v>
      </c>
      <c r="E142" t="s">
        <v>55</v>
      </c>
      <c r="F142" t="s">
        <v>252</v>
      </c>
      <c r="G142" t="s">
        <v>504</v>
      </c>
      <c r="H142">
        <v>1</v>
      </c>
      <c r="I142">
        <v>108000</v>
      </c>
      <c r="J142" t="s">
        <v>83</v>
      </c>
      <c r="K142" t="s">
        <v>21</v>
      </c>
      <c r="L142">
        <v>39</v>
      </c>
      <c r="M142" t="s">
        <v>30</v>
      </c>
      <c r="N142" t="s">
        <v>512</v>
      </c>
    </row>
    <row r="143" spans="1:14" x14ac:dyDescent="0.35">
      <c r="A143" t="s">
        <v>513</v>
      </c>
      <c r="B143" t="s">
        <v>514</v>
      </c>
      <c r="C143" s="1">
        <v>45690</v>
      </c>
      <c r="D143" t="s">
        <v>16</v>
      </c>
      <c r="E143" t="s">
        <v>34</v>
      </c>
      <c r="F143" t="s">
        <v>56</v>
      </c>
      <c r="G143" t="s">
        <v>508</v>
      </c>
      <c r="H143">
        <v>2</v>
      </c>
      <c r="I143">
        <v>240000</v>
      </c>
      <c r="J143" t="s">
        <v>28</v>
      </c>
      <c r="K143" t="s">
        <v>21</v>
      </c>
      <c r="L143">
        <v>35</v>
      </c>
      <c r="M143" t="s">
        <v>30</v>
      </c>
      <c r="N143" t="s">
        <v>515</v>
      </c>
    </row>
    <row r="144" spans="1:14" x14ac:dyDescent="0.35">
      <c r="A144" t="s">
        <v>516</v>
      </c>
      <c r="B144" t="s">
        <v>517</v>
      </c>
      <c r="C144" s="1">
        <v>45330</v>
      </c>
      <c r="D144" t="s">
        <v>72</v>
      </c>
      <c r="E144" t="s">
        <v>17</v>
      </c>
      <c r="F144" t="s">
        <v>67</v>
      </c>
      <c r="G144" t="s">
        <v>68</v>
      </c>
      <c r="H144">
        <v>3</v>
      </c>
      <c r="I144">
        <v>135000</v>
      </c>
      <c r="J144" t="s">
        <v>83</v>
      </c>
      <c r="K144" t="s">
        <v>29</v>
      </c>
      <c r="L144">
        <v>58</v>
      </c>
      <c r="M144" t="s">
        <v>22</v>
      </c>
      <c r="N144" t="s">
        <v>518</v>
      </c>
    </row>
    <row r="145" spans="1:14" x14ac:dyDescent="0.35">
      <c r="A145" t="s">
        <v>519</v>
      </c>
      <c r="B145" t="s">
        <v>520</v>
      </c>
      <c r="C145" s="1">
        <v>45580</v>
      </c>
      <c r="D145" t="s">
        <v>66</v>
      </c>
      <c r="E145" t="s">
        <v>17</v>
      </c>
      <c r="F145" t="s">
        <v>252</v>
      </c>
      <c r="G145" t="s">
        <v>257</v>
      </c>
      <c r="H145">
        <v>1</v>
      </c>
      <c r="I145">
        <v>60000</v>
      </c>
      <c r="J145" t="s">
        <v>83</v>
      </c>
      <c r="K145" t="s">
        <v>29</v>
      </c>
      <c r="L145">
        <v>6</v>
      </c>
      <c r="M145" t="s">
        <v>30</v>
      </c>
      <c r="N145" t="s">
        <v>521</v>
      </c>
    </row>
    <row r="146" spans="1:14" x14ac:dyDescent="0.35">
      <c r="A146" t="s">
        <v>522</v>
      </c>
      <c r="B146" t="s">
        <v>523</v>
      </c>
      <c r="C146" s="1">
        <v>45530</v>
      </c>
      <c r="D146" t="s">
        <v>66</v>
      </c>
      <c r="E146" t="s">
        <v>17</v>
      </c>
      <c r="F146" t="s">
        <v>77</v>
      </c>
      <c r="G146" t="s">
        <v>383</v>
      </c>
      <c r="H146">
        <v>1</v>
      </c>
      <c r="I146">
        <v>84000</v>
      </c>
      <c r="J146" t="s">
        <v>108</v>
      </c>
      <c r="K146" t="s">
        <v>41</v>
      </c>
      <c r="L146">
        <v>13</v>
      </c>
      <c r="M146" t="s">
        <v>30</v>
      </c>
      <c r="N146" t="s">
        <v>524</v>
      </c>
    </row>
    <row r="147" spans="1:14" x14ac:dyDescent="0.35">
      <c r="A147" t="s">
        <v>525</v>
      </c>
      <c r="B147" t="s">
        <v>526</v>
      </c>
      <c r="C147" s="1">
        <v>45298</v>
      </c>
      <c r="D147" t="s">
        <v>45</v>
      </c>
      <c r="E147" t="s">
        <v>34</v>
      </c>
      <c r="F147" t="s">
        <v>39</v>
      </c>
      <c r="G147" t="s">
        <v>393</v>
      </c>
      <c r="H147">
        <v>4</v>
      </c>
      <c r="I147">
        <v>432000</v>
      </c>
      <c r="J147" t="s">
        <v>28</v>
      </c>
      <c r="K147" t="s">
        <v>21</v>
      </c>
      <c r="L147">
        <v>52</v>
      </c>
      <c r="M147" t="s">
        <v>22</v>
      </c>
      <c r="N147" t="s">
        <v>527</v>
      </c>
    </row>
    <row r="148" spans="1:14" x14ac:dyDescent="0.35">
      <c r="A148" t="s">
        <v>528</v>
      </c>
      <c r="B148" t="s">
        <v>529</v>
      </c>
      <c r="C148" s="1">
        <v>45620</v>
      </c>
      <c r="D148" t="s">
        <v>16</v>
      </c>
      <c r="E148" t="s">
        <v>17</v>
      </c>
      <c r="F148" t="s">
        <v>77</v>
      </c>
      <c r="G148" t="s">
        <v>383</v>
      </c>
      <c r="H148">
        <v>4</v>
      </c>
      <c r="I148">
        <v>400000</v>
      </c>
      <c r="J148" t="s">
        <v>108</v>
      </c>
      <c r="K148" t="s">
        <v>29</v>
      </c>
      <c r="L148">
        <v>29</v>
      </c>
      <c r="M148" t="s">
        <v>30</v>
      </c>
      <c r="N148" t="s">
        <v>530</v>
      </c>
    </row>
    <row r="149" spans="1:14" x14ac:dyDescent="0.35">
      <c r="A149" t="s">
        <v>531</v>
      </c>
      <c r="B149" t="s">
        <v>532</v>
      </c>
      <c r="C149" s="1">
        <v>45407</v>
      </c>
      <c r="D149" t="s">
        <v>45</v>
      </c>
      <c r="E149" t="s">
        <v>34</v>
      </c>
      <c r="F149" t="s">
        <v>77</v>
      </c>
      <c r="G149" t="s">
        <v>136</v>
      </c>
      <c r="H149">
        <v>1</v>
      </c>
      <c r="I149">
        <v>108000</v>
      </c>
      <c r="J149" t="s">
        <v>108</v>
      </c>
      <c r="K149" t="s">
        <v>21</v>
      </c>
      <c r="L149">
        <v>57</v>
      </c>
      <c r="M149" t="s">
        <v>30</v>
      </c>
      <c r="N149" t="s">
        <v>533</v>
      </c>
    </row>
    <row r="150" spans="1:14" x14ac:dyDescent="0.35">
      <c r="A150" t="s">
        <v>534</v>
      </c>
      <c r="B150" t="s">
        <v>535</v>
      </c>
      <c r="C150" s="1">
        <v>45705</v>
      </c>
      <c r="D150" t="s">
        <v>45</v>
      </c>
      <c r="E150" t="s">
        <v>17</v>
      </c>
      <c r="F150" t="s">
        <v>163</v>
      </c>
      <c r="G150" t="s">
        <v>536</v>
      </c>
      <c r="H150">
        <v>1</v>
      </c>
      <c r="I150">
        <v>90000</v>
      </c>
      <c r="J150" t="s">
        <v>46</v>
      </c>
      <c r="K150" t="s">
        <v>29</v>
      </c>
      <c r="L150">
        <v>17</v>
      </c>
      <c r="M150" t="s">
        <v>30</v>
      </c>
      <c r="N150" t="s">
        <v>537</v>
      </c>
    </row>
    <row r="151" spans="1:14" x14ac:dyDescent="0.35">
      <c r="A151" t="s">
        <v>538</v>
      </c>
      <c r="B151" t="s">
        <v>539</v>
      </c>
      <c r="C151" s="1">
        <v>45446</v>
      </c>
      <c r="D151" t="s">
        <v>72</v>
      </c>
      <c r="E151" t="s">
        <v>34</v>
      </c>
      <c r="F151" t="s">
        <v>26</v>
      </c>
      <c r="G151" t="s">
        <v>124</v>
      </c>
      <c r="H151">
        <v>1</v>
      </c>
      <c r="I151">
        <v>54000</v>
      </c>
      <c r="J151" t="s">
        <v>46</v>
      </c>
      <c r="K151" t="s">
        <v>21</v>
      </c>
      <c r="L151">
        <v>41</v>
      </c>
      <c r="M151" t="s">
        <v>22</v>
      </c>
      <c r="N151" t="s">
        <v>540</v>
      </c>
    </row>
    <row r="152" spans="1:14" x14ac:dyDescent="0.35">
      <c r="A152" t="s">
        <v>541</v>
      </c>
      <c r="B152" t="s">
        <v>542</v>
      </c>
      <c r="C152" s="1">
        <v>45695</v>
      </c>
      <c r="D152" t="s">
        <v>45</v>
      </c>
      <c r="E152" t="s">
        <v>55</v>
      </c>
      <c r="F152" t="s">
        <v>163</v>
      </c>
      <c r="G152" t="s">
        <v>164</v>
      </c>
      <c r="H152">
        <v>2</v>
      </c>
      <c r="I152">
        <v>216000</v>
      </c>
      <c r="J152" t="s">
        <v>83</v>
      </c>
      <c r="K152" t="s">
        <v>21</v>
      </c>
      <c r="L152">
        <v>42</v>
      </c>
      <c r="M152" t="s">
        <v>22</v>
      </c>
      <c r="N152" t="s">
        <v>543</v>
      </c>
    </row>
    <row r="153" spans="1:14" x14ac:dyDescent="0.35">
      <c r="A153" t="s">
        <v>544</v>
      </c>
      <c r="B153" t="s">
        <v>545</v>
      </c>
      <c r="C153" s="1">
        <v>45402</v>
      </c>
      <c r="D153" t="s">
        <v>45</v>
      </c>
      <c r="E153" t="s">
        <v>55</v>
      </c>
      <c r="F153" t="s">
        <v>61</v>
      </c>
      <c r="G153" t="s">
        <v>95</v>
      </c>
      <c r="H153">
        <v>4</v>
      </c>
      <c r="I153">
        <v>360000</v>
      </c>
      <c r="J153" t="s">
        <v>28</v>
      </c>
      <c r="K153" t="s">
        <v>29</v>
      </c>
      <c r="L153">
        <v>59</v>
      </c>
      <c r="M153" t="s">
        <v>22</v>
      </c>
      <c r="N153" t="s">
        <v>546</v>
      </c>
    </row>
    <row r="154" spans="1:14" x14ac:dyDescent="0.35">
      <c r="A154" t="s">
        <v>547</v>
      </c>
      <c r="B154" t="s">
        <v>548</v>
      </c>
      <c r="C154" s="1">
        <v>45506</v>
      </c>
      <c r="D154" t="s">
        <v>45</v>
      </c>
      <c r="E154" t="s">
        <v>55</v>
      </c>
      <c r="F154" t="s">
        <v>163</v>
      </c>
      <c r="G154" t="s">
        <v>214</v>
      </c>
      <c r="H154">
        <v>4</v>
      </c>
      <c r="I154">
        <v>432000</v>
      </c>
      <c r="J154" t="s">
        <v>46</v>
      </c>
      <c r="K154" t="s">
        <v>21</v>
      </c>
      <c r="L154">
        <v>41</v>
      </c>
      <c r="M154" t="s">
        <v>30</v>
      </c>
      <c r="N154" t="s">
        <v>549</v>
      </c>
    </row>
    <row r="155" spans="1:14" x14ac:dyDescent="0.35">
      <c r="A155" t="s">
        <v>550</v>
      </c>
      <c r="B155" t="s">
        <v>551</v>
      </c>
      <c r="C155" s="1">
        <v>45136</v>
      </c>
      <c r="D155" t="s">
        <v>72</v>
      </c>
      <c r="E155" t="s">
        <v>17</v>
      </c>
      <c r="F155" t="s">
        <v>61</v>
      </c>
      <c r="G155" t="s">
        <v>156</v>
      </c>
      <c r="H155">
        <v>2</v>
      </c>
      <c r="I155">
        <v>108000</v>
      </c>
      <c r="J155" t="s">
        <v>108</v>
      </c>
      <c r="K155" t="s">
        <v>21</v>
      </c>
      <c r="L155">
        <v>51</v>
      </c>
      <c r="M155" t="s">
        <v>22</v>
      </c>
      <c r="N155" t="s">
        <v>552</v>
      </c>
    </row>
    <row r="156" spans="1:14" x14ac:dyDescent="0.35">
      <c r="A156" t="s">
        <v>553</v>
      </c>
      <c r="B156" t="s">
        <v>554</v>
      </c>
      <c r="C156" s="1">
        <v>45343</v>
      </c>
      <c r="D156" t="s">
        <v>16</v>
      </c>
      <c r="E156" t="s">
        <v>55</v>
      </c>
      <c r="F156" t="s">
        <v>61</v>
      </c>
      <c r="G156" t="s">
        <v>62</v>
      </c>
      <c r="H156">
        <v>1</v>
      </c>
      <c r="I156">
        <v>100000</v>
      </c>
      <c r="J156" t="s">
        <v>108</v>
      </c>
      <c r="K156" t="s">
        <v>29</v>
      </c>
      <c r="L156">
        <v>39</v>
      </c>
      <c r="M156" t="s">
        <v>30</v>
      </c>
      <c r="N156" t="s">
        <v>555</v>
      </c>
    </row>
    <row r="157" spans="1:14" x14ac:dyDescent="0.35">
      <c r="A157" t="s">
        <v>556</v>
      </c>
      <c r="B157" t="s">
        <v>557</v>
      </c>
      <c r="C157" s="1">
        <v>45477</v>
      </c>
      <c r="D157" t="s">
        <v>66</v>
      </c>
      <c r="E157" t="s">
        <v>34</v>
      </c>
      <c r="F157" t="s">
        <v>56</v>
      </c>
      <c r="G157" t="s">
        <v>57</v>
      </c>
      <c r="H157">
        <v>4</v>
      </c>
      <c r="I157">
        <v>240000</v>
      </c>
      <c r="J157" t="s">
        <v>108</v>
      </c>
      <c r="K157" t="s">
        <v>29</v>
      </c>
      <c r="L157">
        <v>7</v>
      </c>
      <c r="M157" t="s">
        <v>22</v>
      </c>
      <c r="N157" t="s">
        <v>558</v>
      </c>
    </row>
    <row r="158" spans="1:14" x14ac:dyDescent="0.35">
      <c r="A158" t="s">
        <v>559</v>
      </c>
      <c r="B158" t="s">
        <v>560</v>
      </c>
      <c r="C158" s="1">
        <v>45753</v>
      </c>
      <c r="D158" t="s">
        <v>66</v>
      </c>
      <c r="E158" t="s">
        <v>55</v>
      </c>
      <c r="F158" t="s">
        <v>67</v>
      </c>
      <c r="G158" t="s">
        <v>68</v>
      </c>
      <c r="H158">
        <v>5</v>
      </c>
      <c r="I158">
        <v>360000</v>
      </c>
      <c r="J158" t="s">
        <v>108</v>
      </c>
      <c r="K158" t="s">
        <v>21</v>
      </c>
      <c r="L158">
        <v>49</v>
      </c>
      <c r="M158" t="s">
        <v>30</v>
      </c>
      <c r="N158" t="s">
        <v>561</v>
      </c>
    </row>
    <row r="159" spans="1:14" x14ac:dyDescent="0.35">
      <c r="A159" t="s">
        <v>562</v>
      </c>
      <c r="B159" t="s">
        <v>563</v>
      </c>
      <c r="C159" s="1">
        <v>45520</v>
      </c>
      <c r="D159" t="s">
        <v>16</v>
      </c>
      <c r="E159" t="s">
        <v>34</v>
      </c>
      <c r="F159" t="s">
        <v>26</v>
      </c>
      <c r="G159" t="s">
        <v>221</v>
      </c>
      <c r="H159">
        <v>5</v>
      </c>
      <c r="I159">
        <v>500000</v>
      </c>
      <c r="J159" t="s">
        <v>83</v>
      </c>
      <c r="K159" t="s">
        <v>29</v>
      </c>
      <c r="L159">
        <v>55</v>
      </c>
      <c r="M159" t="s">
        <v>30</v>
      </c>
      <c r="N159" t="s">
        <v>564</v>
      </c>
    </row>
    <row r="160" spans="1:14" x14ac:dyDescent="0.35">
      <c r="A160" t="s">
        <v>565</v>
      </c>
      <c r="B160" t="s">
        <v>566</v>
      </c>
      <c r="C160" s="1">
        <v>45050</v>
      </c>
      <c r="D160" t="s">
        <v>66</v>
      </c>
      <c r="E160" t="s">
        <v>34</v>
      </c>
      <c r="F160" t="s">
        <v>50</v>
      </c>
      <c r="G160" t="s">
        <v>148</v>
      </c>
      <c r="H160">
        <v>3</v>
      </c>
      <c r="I160">
        <v>180000</v>
      </c>
      <c r="J160" t="s">
        <v>83</v>
      </c>
      <c r="K160" t="s">
        <v>29</v>
      </c>
      <c r="L160">
        <v>51</v>
      </c>
      <c r="M160" t="s">
        <v>22</v>
      </c>
      <c r="N160" t="s">
        <v>567</v>
      </c>
    </row>
    <row r="161" spans="1:14" x14ac:dyDescent="0.35">
      <c r="A161" t="s">
        <v>568</v>
      </c>
      <c r="B161" t="s">
        <v>569</v>
      </c>
      <c r="C161" s="1">
        <v>45266</v>
      </c>
      <c r="D161" t="s">
        <v>72</v>
      </c>
      <c r="E161" t="s">
        <v>55</v>
      </c>
      <c r="F161" t="s">
        <v>77</v>
      </c>
      <c r="G161" t="s">
        <v>91</v>
      </c>
      <c r="H161">
        <v>4</v>
      </c>
      <c r="I161">
        <v>216000</v>
      </c>
      <c r="J161" t="s">
        <v>108</v>
      </c>
      <c r="K161" t="s">
        <v>21</v>
      </c>
      <c r="L161">
        <v>5</v>
      </c>
      <c r="M161" t="s">
        <v>30</v>
      </c>
      <c r="N161" t="s">
        <v>570</v>
      </c>
    </row>
    <row r="162" spans="1:14" x14ac:dyDescent="0.35">
      <c r="A162" t="s">
        <v>571</v>
      </c>
      <c r="B162" t="s">
        <v>572</v>
      </c>
      <c r="C162" s="1">
        <v>45714</v>
      </c>
      <c r="D162" t="s">
        <v>45</v>
      </c>
      <c r="E162" t="s">
        <v>55</v>
      </c>
      <c r="F162" t="s">
        <v>18</v>
      </c>
      <c r="G162" t="s">
        <v>297</v>
      </c>
      <c r="H162">
        <v>2</v>
      </c>
      <c r="I162">
        <v>216000</v>
      </c>
      <c r="J162" t="s">
        <v>20</v>
      </c>
      <c r="K162" t="s">
        <v>21</v>
      </c>
      <c r="L162">
        <v>53</v>
      </c>
      <c r="M162" t="s">
        <v>22</v>
      </c>
      <c r="N162" t="s">
        <v>573</v>
      </c>
    </row>
    <row r="163" spans="1:14" x14ac:dyDescent="0.35">
      <c r="A163" t="s">
        <v>574</v>
      </c>
      <c r="B163" t="s">
        <v>575</v>
      </c>
      <c r="C163" s="1">
        <v>45488</v>
      </c>
      <c r="D163" t="s">
        <v>16</v>
      </c>
      <c r="E163" t="s">
        <v>55</v>
      </c>
      <c r="F163" t="s">
        <v>163</v>
      </c>
      <c r="G163" t="s">
        <v>282</v>
      </c>
      <c r="H163">
        <v>4</v>
      </c>
      <c r="I163">
        <v>560000</v>
      </c>
      <c r="J163" t="s">
        <v>20</v>
      </c>
      <c r="K163" t="s">
        <v>41</v>
      </c>
      <c r="L163">
        <v>38</v>
      </c>
      <c r="M163" t="s">
        <v>22</v>
      </c>
      <c r="N163" t="s">
        <v>576</v>
      </c>
    </row>
    <row r="164" spans="1:14" x14ac:dyDescent="0.35">
      <c r="A164" t="s">
        <v>577</v>
      </c>
      <c r="B164" t="s">
        <v>578</v>
      </c>
      <c r="C164" s="1">
        <v>45640</v>
      </c>
      <c r="D164" t="s">
        <v>72</v>
      </c>
      <c r="E164" t="s">
        <v>34</v>
      </c>
      <c r="F164" t="s">
        <v>163</v>
      </c>
      <c r="G164" t="s">
        <v>164</v>
      </c>
      <c r="H164">
        <v>2</v>
      </c>
      <c r="I164">
        <v>126000</v>
      </c>
      <c r="J164" t="s">
        <v>46</v>
      </c>
      <c r="K164" t="s">
        <v>41</v>
      </c>
      <c r="L164">
        <v>8</v>
      </c>
      <c r="M164" t="s">
        <v>22</v>
      </c>
      <c r="N164" t="s">
        <v>579</v>
      </c>
    </row>
    <row r="165" spans="1:14" x14ac:dyDescent="0.35">
      <c r="A165" t="s">
        <v>580</v>
      </c>
      <c r="B165" t="s">
        <v>581</v>
      </c>
      <c r="C165" s="1">
        <v>45664</v>
      </c>
      <c r="D165" t="s">
        <v>66</v>
      </c>
      <c r="E165" t="s">
        <v>34</v>
      </c>
      <c r="F165" t="s">
        <v>56</v>
      </c>
      <c r="G165" t="s">
        <v>152</v>
      </c>
      <c r="H165">
        <v>3</v>
      </c>
      <c r="I165">
        <v>252000</v>
      </c>
      <c r="J165" t="s">
        <v>28</v>
      </c>
      <c r="K165" t="s">
        <v>41</v>
      </c>
      <c r="L165">
        <v>30</v>
      </c>
      <c r="M165" t="s">
        <v>22</v>
      </c>
      <c r="N165" t="s">
        <v>582</v>
      </c>
    </row>
    <row r="166" spans="1:14" x14ac:dyDescent="0.35">
      <c r="A166" t="s">
        <v>583</v>
      </c>
      <c r="B166" t="s">
        <v>584</v>
      </c>
      <c r="C166" s="1">
        <v>45553</v>
      </c>
      <c r="D166" t="s">
        <v>16</v>
      </c>
      <c r="E166" t="s">
        <v>17</v>
      </c>
      <c r="F166" t="s">
        <v>26</v>
      </c>
      <c r="G166" t="s">
        <v>87</v>
      </c>
      <c r="H166">
        <v>3</v>
      </c>
      <c r="I166">
        <v>300000</v>
      </c>
      <c r="J166" t="s">
        <v>20</v>
      </c>
      <c r="K166" t="s">
        <v>29</v>
      </c>
      <c r="L166">
        <v>40</v>
      </c>
      <c r="M166" t="s">
        <v>30</v>
      </c>
      <c r="N166" t="s">
        <v>585</v>
      </c>
    </row>
    <row r="167" spans="1:14" x14ac:dyDescent="0.35">
      <c r="A167" t="s">
        <v>586</v>
      </c>
      <c r="B167" t="s">
        <v>587</v>
      </c>
      <c r="C167" s="1">
        <v>45333</v>
      </c>
      <c r="D167" t="s">
        <v>16</v>
      </c>
      <c r="E167" t="s">
        <v>55</v>
      </c>
      <c r="F167" t="s">
        <v>26</v>
      </c>
      <c r="G167" t="s">
        <v>35</v>
      </c>
      <c r="H167">
        <v>3</v>
      </c>
      <c r="I167">
        <v>300000</v>
      </c>
      <c r="J167" t="s">
        <v>83</v>
      </c>
      <c r="K167" t="s">
        <v>29</v>
      </c>
      <c r="L167">
        <v>57</v>
      </c>
      <c r="M167" t="s">
        <v>22</v>
      </c>
      <c r="N167" t="s">
        <v>588</v>
      </c>
    </row>
    <row r="168" spans="1:14" x14ac:dyDescent="0.35">
      <c r="A168" t="s">
        <v>589</v>
      </c>
      <c r="B168" t="s">
        <v>590</v>
      </c>
      <c r="C168" s="1">
        <v>45673</v>
      </c>
      <c r="D168" t="s">
        <v>66</v>
      </c>
      <c r="E168" t="s">
        <v>17</v>
      </c>
      <c r="F168" t="s">
        <v>252</v>
      </c>
      <c r="G168" t="s">
        <v>307</v>
      </c>
      <c r="H168">
        <v>1</v>
      </c>
      <c r="I168">
        <v>84000</v>
      </c>
      <c r="J168" t="s">
        <v>46</v>
      </c>
      <c r="K168" t="s">
        <v>41</v>
      </c>
      <c r="L168">
        <v>21</v>
      </c>
      <c r="M168" t="s">
        <v>22</v>
      </c>
      <c r="N168" t="s">
        <v>591</v>
      </c>
    </row>
    <row r="169" spans="1:14" x14ac:dyDescent="0.35">
      <c r="A169" t="s">
        <v>592</v>
      </c>
      <c r="B169" t="s">
        <v>593</v>
      </c>
      <c r="C169" s="1">
        <v>45493</v>
      </c>
      <c r="D169" t="s">
        <v>45</v>
      </c>
      <c r="E169" t="s">
        <v>17</v>
      </c>
      <c r="F169" t="s">
        <v>50</v>
      </c>
      <c r="G169" t="s">
        <v>107</v>
      </c>
      <c r="H169">
        <v>1</v>
      </c>
      <c r="I169">
        <v>126000</v>
      </c>
      <c r="J169" t="s">
        <v>108</v>
      </c>
      <c r="K169" t="s">
        <v>41</v>
      </c>
      <c r="L169">
        <v>20</v>
      </c>
      <c r="M169" t="s">
        <v>30</v>
      </c>
      <c r="N169" t="s">
        <v>594</v>
      </c>
    </row>
    <row r="170" spans="1:14" x14ac:dyDescent="0.35">
      <c r="A170" t="s">
        <v>595</v>
      </c>
      <c r="B170" t="s">
        <v>596</v>
      </c>
      <c r="C170" s="1">
        <v>45137</v>
      </c>
      <c r="D170" t="s">
        <v>66</v>
      </c>
      <c r="E170" t="s">
        <v>55</v>
      </c>
      <c r="F170" t="s">
        <v>67</v>
      </c>
      <c r="G170" t="s">
        <v>120</v>
      </c>
      <c r="H170">
        <v>2</v>
      </c>
      <c r="I170">
        <v>144000</v>
      </c>
      <c r="J170" t="s">
        <v>28</v>
      </c>
      <c r="K170" t="s">
        <v>21</v>
      </c>
      <c r="L170">
        <v>6</v>
      </c>
      <c r="M170" t="s">
        <v>22</v>
      </c>
      <c r="N170" t="s">
        <v>597</v>
      </c>
    </row>
    <row r="171" spans="1:14" x14ac:dyDescent="0.35">
      <c r="A171" t="s">
        <v>598</v>
      </c>
      <c r="B171" t="s">
        <v>599</v>
      </c>
      <c r="C171" s="1">
        <v>45067</v>
      </c>
      <c r="D171" t="s">
        <v>45</v>
      </c>
      <c r="E171" t="s">
        <v>55</v>
      </c>
      <c r="F171" t="s">
        <v>50</v>
      </c>
      <c r="G171" t="s">
        <v>51</v>
      </c>
      <c r="H171">
        <v>3</v>
      </c>
      <c r="I171">
        <v>270000</v>
      </c>
      <c r="J171" t="s">
        <v>28</v>
      </c>
      <c r="K171" t="s">
        <v>29</v>
      </c>
      <c r="L171">
        <v>50</v>
      </c>
      <c r="M171" t="s">
        <v>30</v>
      </c>
      <c r="N171" t="s">
        <v>600</v>
      </c>
    </row>
    <row r="172" spans="1:14" x14ac:dyDescent="0.35">
      <c r="A172" t="s">
        <v>601</v>
      </c>
      <c r="B172" t="s">
        <v>602</v>
      </c>
      <c r="C172" s="1">
        <v>45263</v>
      </c>
      <c r="D172" t="s">
        <v>72</v>
      </c>
      <c r="E172" t="s">
        <v>17</v>
      </c>
      <c r="F172" t="s">
        <v>56</v>
      </c>
      <c r="G172" t="s">
        <v>144</v>
      </c>
      <c r="H172">
        <v>2</v>
      </c>
      <c r="I172">
        <v>108000</v>
      </c>
      <c r="J172" t="s">
        <v>83</v>
      </c>
      <c r="K172" t="s">
        <v>21</v>
      </c>
      <c r="L172">
        <v>39</v>
      </c>
      <c r="M172" t="s">
        <v>22</v>
      </c>
      <c r="N172" t="s">
        <v>603</v>
      </c>
    </row>
    <row r="173" spans="1:14" x14ac:dyDescent="0.35">
      <c r="A173" t="s">
        <v>604</v>
      </c>
      <c r="B173" t="s">
        <v>605</v>
      </c>
      <c r="C173" s="1">
        <v>45755</v>
      </c>
      <c r="D173" t="s">
        <v>72</v>
      </c>
      <c r="E173" t="s">
        <v>17</v>
      </c>
      <c r="F173" t="s">
        <v>61</v>
      </c>
      <c r="G173" t="s">
        <v>99</v>
      </c>
      <c r="H173">
        <v>5</v>
      </c>
      <c r="I173">
        <v>315000</v>
      </c>
      <c r="J173" t="s">
        <v>83</v>
      </c>
      <c r="K173" t="s">
        <v>41</v>
      </c>
      <c r="L173">
        <v>55</v>
      </c>
      <c r="M173" t="s">
        <v>30</v>
      </c>
      <c r="N173" t="s">
        <v>606</v>
      </c>
    </row>
    <row r="174" spans="1:14" x14ac:dyDescent="0.35">
      <c r="A174" t="s">
        <v>607</v>
      </c>
      <c r="B174" t="s">
        <v>608</v>
      </c>
      <c r="C174" s="1">
        <v>45711</v>
      </c>
      <c r="D174" t="s">
        <v>72</v>
      </c>
      <c r="E174" t="s">
        <v>55</v>
      </c>
      <c r="F174" t="s">
        <v>252</v>
      </c>
      <c r="G174" t="s">
        <v>253</v>
      </c>
      <c r="H174">
        <v>3</v>
      </c>
      <c r="I174">
        <v>189000</v>
      </c>
      <c r="J174" t="s">
        <v>28</v>
      </c>
      <c r="K174" t="s">
        <v>41</v>
      </c>
      <c r="L174">
        <v>44</v>
      </c>
      <c r="M174" t="s">
        <v>30</v>
      </c>
      <c r="N174" t="s">
        <v>609</v>
      </c>
    </row>
    <row r="175" spans="1:14" x14ac:dyDescent="0.35">
      <c r="A175" t="s">
        <v>610</v>
      </c>
      <c r="B175" t="s">
        <v>611</v>
      </c>
      <c r="C175" s="1">
        <v>45709</v>
      </c>
      <c r="D175" t="s">
        <v>66</v>
      </c>
      <c r="E175" t="s">
        <v>34</v>
      </c>
      <c r="F175" t="s">
        <v>61</v>
      </c>
      <c r="G175" t="s">
        <v>95</v>
      </c>
      <c r="H175">
        <v>4</v>
      </c>
      <c r="I175">
        <v>336000</v>
      </c>
      <c r="J175" t="s">
        <v>46</v>
      </c>
      <c r="K175" t="s">
        <v>41</v>
      </c>
      <c r="L175">
        <v>56</v>
      </c>
      <c r="M175" t="s">
        <v>22</v>
      </c>
      <c r="N175" t="s">
        <v>612</v>
      </c>
    </row>
    <row r="176" spans="1:14" x14ac:dyDescent="0.35">
      <c r="A176" t="s">
        <v>613</v>
      </c>
      <c r="B176" t="s">
        <v>614</v>
      </c>
      <c r="C176" s="1">
        <v>45046</v>
      </c>
      <c r="D176" t="s">
        <v>16</v>
      </c>
      <c r="E176" t="s">
        <v>55</v>
      </c>
      <c r="F176" t="s">
        <v>18</v>
      </c>
      <c r="G176" t="s">
        <v>181</v>
      </c>
      <c r="H176">
        <v>2</v>
      </c>
      <c r="I176">
        <v>200000</v>
      </c>
      <c r="J176" t="s">
        <v>28</v>
      </c>
      <c r="K176" t="s">
        <v>29</v>
      </c>
      <c r="L176">
        <v>29</v>
      </c>
      <c r="M176" t="s">
        <v>22</v>
      </c>
      <c r="N176" t="s">
        <v>615</v>
      </c>
    </row>
    <row r="177" spans="1:14" x14ac:dyDescent="0.35">
      <c r="A177" t="s">
        <v>616</v>
      </c>
      <c r="B177" t="s">
        <v>617</v>
      </c>
      <c r="C177" s="1">
        <v>45284</v>
      </c>
      <c r="D177" t="s">
        <v>72</v>
      </c>
      <c r="E177" t="s">
        <v>34</v>
      </c>
      <c r="F177" t="s">
        <v>77</v>
      </c>
      <c r="G177" t="s">
        <v>91</v>
      </c>
      <c r="H177">
        <v>4</v>
      </c>
      <c r="I177">
        <v>180000</v>
      </c>
      <c r="J177" t="s">
        <v>20</v>
      </c>
      <c r="K177" t="s">
        <v>29</v>
      </c>
      <c r="L177">
        <v>32</v>
      </c>
      <c r="M177" t="s">
        <v>30</v>
      </c>
      <c r="N177" t="s">
        <v>618</v>
      </c>
    </row>
    <row r="178" spans="1:14" x14ac:dyDescent="0.35">
      <c r="A178" t="s">
        <v>619</v>
      </c>
      <c r="B178" t="s">
        <v>620</v>
      </c>
      <c r="C178" s="1">
        <v>45749</v>
      </c>
      <c r="D178" t="s">
        <v>66</v>
      </c>
      <c r="E178" t="s">
        <v>34</v>
      </c>
      <c r="F178" t="s">
        <v>61</v>
      </c>
      <c r="G178" t="s">
        <v>99</v>
      </c>
      <c r="H178">
        <v>4</v>
      </c>
      <c r="I178">
        <v>288000</v>
      </c>
      <c r="J178" t="s">
        <v>108</v>
      </c>
      <c r="K178" t="s">
        <v>21</v>
      </c>
      <c r="L178">
        <v>6</v>
      </c>
      <c r="M178" t="s">
        <v>30</v>
      </c>
      <c r="N178" t="s">
        <v>621</v>
      </c>
    </row>
    <row r="179" spans="1:14" x14ac:dyDescent="0.35">
      <c r="A179" t="s">
        <v>622</v>
      </c>
      <c r="B179" t="s">
        <v>623</v>
      </c>
      <c r="C179" s="1">
        <v>45293</v>
      </c>
      <c r="D179" t="s">
        <v>16</v>
      </c>
      <c r="E179" t="s">
        <v>34</v>
      </c>
      <c r="F179" t="s">
        <v>252</v>
      </c>
      <c r="G179" t="s">
        <v>307</v>
      </c>
      <c r="H179">
        <v>4</v>
      </c>
      <c r="I179">
        <v>400000</v>
      </c>
      <c r="J179" t="s">
        <v>108</v>
      </c>
      <c r="K179" t="s">
        <v>29</v>
      </c>
      <c r="L179">
        <v>49</v>
      </c>
      <c r="M179" t="s">
        <v>30</v>
      </c>
      <c r="N179" t="s">
        <v>624</v>
      </c>
    </row>
    <row r="180" spans="1:14" x14ac:dyDescent="0.35">
      <c r="A180" t="s">
        <v>625</v>
      </c>
      <c r="B180" t="s">
        <v>626</v>
      </c>
      <c r="C180" s="1">
        <v>45715</v>
      </c>
      <c r="D180" t="s">
        <v>45</v>
      </c>
      <c r="E180" t="s">
        <v>34</v>
      </c>
      <c r="F180" t="s">
        <v>163</v>
      </c>
      <c r="G180" t="s">
        <v>164</v>
      </c>
      <c r="H180">
        <v>2</v>
      </c>
      <c r="I180">
        <v>216000</v>
      </c>
      <c r="J180" t="s">
        <v>46</v>
      </c>
      <c r="K180" t="s">
        <v>21</v>
      </c>
      <c r="L180">
        <v>27</v>
      </c>
      <c r="M180" t="s">
        <v>22</v>
      </c>
      <c r="N180" t="s">
        <v>627</v>
      </c>
    </row>
    <row r="181" spans="1:14" x14ac:dyDescent="0.35">
      <c r="A181" t="s">
        <v>628</v>
      </c>
      <c r="B181" t="s">
        <v>629</v>
      </c>
      <c r="C181" s="1">
        <v>45738</v>
      </c>
      <c r="D181" t="s">
        <v>72</v>
      </c>
      <c r="E181" t="s">
        <v>55</v>
      </c>
      <c r="F181" t="s">
        <v>163</v>
      </c>
      <c r="G181" t="s">
        <v>214</v>
      </c>
      <c r="H181">
        <v>1</v>
      </c>
      <c r="I181">
        <v>54000</v>
      </c>
      <c r="J181" t="s">
        <v>46</v>
      </c>
      <c r="K181" t="s">
        <v>21</v>
      </c>
      <c r="L181">
        <v>23</v>
      </c>
      <c r="M181" t="s">
        <v>22</v>
      </c>
      <c r="N181" t="s">
        <v>630</v>
      </c>
    </row>
    <row r="182" spans="1:14" x14ac:dyDescent="0.35">
      <c r="A182" t="s">
        <v>631</v>
      </c>
      <c r="B182" t="s">
        <v>632</v>
      </c>
      <c r="C182" s="1">
        <v>45206</v>
      </c>
      <c r="D182" t="s">
        <v>16</v>
      </c>
      <c r="E182" t="s">
        <v>34</v>
      </c>
      <c r="F182" t="s">
        <v>56</v>
      </c>
      <c r="G182" t="s">
        <v>508</v>
      </c>
      <c r="H182">
        <v>2</v>
      </c>
      <c r="I182">
        <v>240000</v>
      </c>
      <c r="J182" t="s">
        <v>46</v>
      </c>
      <c r="K182" t="s">
        <v>21</v>
      </c>
      <c r="L182">
        <v>48</v>
      </c>
      <c r="M182" t="s">
        <v>22</v>
      </c>
      <c r="N182" t="s">
        <v>633</v>
      </c>
    </row>
    <row r="183" spans="1:14" x14ac:dyDescent="0.35">
      <c r="A183" t="s">
        <v>634</v>
      </c>
      <c r="B183" t="s">
        <v>635</v>
      </c>
      <c r="C183" s="1">
        <v>45045</v>
      </c>
      <c r="D183" t="s">
        <v>45</v>
      </c>
      <c r="E183" t="s">
        <v>17</v>
      </c>
      <c r="F183" t="s">
        <v>77</v>
      </c>
      <c r="G183" t="s">
        <v>78</v>
      </c>
      <c r="H183">
        <v>1</v>
      </c>
      <c r="I183">
        <v>108000</v>
      </c>
      <c r="J183" t="s">
        <v>46</v>
      </c>
      <c r="K183" t="s">
        <v>21</v>
      </c>
      <c r="L183">
        <v>52</v>
      </c>
      <c r="M183" t="s">
        <v>30</v>
      </c>
      <c r="N183" t="s">
        <v>636</v>
      </c>
    </row>
    <row r="184" spans="1:14" x14ac:dyDescent="0.35">
      <c r="A184" t="s">
        <v>637</v>
      </c>
      <c r="B184" t="s">
        <v>638</v>
      </c>
      <c r="C184" s="1">
        <v>45603</v>
      </c>
      <c r="D184" t="s">
        <v>66</v>
      </c>
      <c r="E184" t="s">
        <v>55</v>
      </c>
      <c r="F184" t="s">
        <v>50</v>
      </c>
      <c r="G184" t="s">
        <v>132</v>
      </c>
      <c r="H184">
        <v>2</v>
      </c>
      <c r="I184">
        <v>168000</v>
      </c>
      <c r="J184" t="s">
        <v>46</v>
      </c>
      <c r="K184" t="s">
        <v>41</v>
      </c>
      <c r="L184">
        <v>21</v>
      </c>
      <c r="M184" t="s">
        <v>22</v>
      </c>
      <c r="N184" t="s">
        <v>639</v>
      </c>
    </row>
    <row r="185" spans="1:14" x14ac:dyDescent="0.35">
      <c r="A185" t="s">
        <v>640</v>
      </c>
      <c r="B185" t="s">
        <v>641</v>
      </c>
      <c r="C185" s="1">
        <v>45495</v>
      </c>
      <c r="D185" t="s">
        <v>16</v>
      </c>
      <c r="E185" t="s">
        <v>34</v>
      </c>
      <c r="F185" t="s">
        <v>26</v>
      </c>
      <c r="G185" t="s">
        <v>27</v>
      </c>
      <c r="H185">
        <v>1</v>
      </c>
      <c r="I185">
        <v>140000</v>
      </c>
      <c r="J185" t="s">
        <v>28</v>
      </c>
      <c r="K185" t="s">
        <v>41</v>
      </c>
      <c r="L185">
        <v>47</v>
      </c>
      <c r="M185" t="s">
        <v>22</v>
      </c>
      <c r="N185" t="s">
        <v>642</v>
      </c>
    </row>
    <row r="186" spans="1:14" x14ac:dyDescent="0.35">
      <c r="A186" t="s">
        <v>643</v>
      </c>
      <c r="B186" t="s">
        <v>644</v>
      </c>
      <c r="C186" s="1">
        <v>45076</v>
      </c>
      <c r="D186" t="s">
        <v>45</v>
      </c>
      <c r="E186" t="s">
        <v>55</v>
      </c>
      <c r="F186" t="s">
        <v>61</v>
      </c>
      <c r="G186" t="s">
        <v>95</v>
      </c>
      <c r="H186">
        <v>1</v>
      </c>
      <c r="I186">
        <v>90000</v>
      </c>
      <c r="J186" t="s">
        <v>83</v>
      </c>
      <c r="K186" t="s">
        <v>29</v>
      </c>
      <c r="L186">
        <v>31</v>
      </c>
      <c r="M186" t="s">
        <v>22</v>
      </c>
      <c r="N186" t="s">
        <v>645</v>
      </c>
    </row>
    <row r="187" spans="1:14" x14ac:dyDescent="0.35">
      <c r="A187" t="s">
        <v>646</v>
      </c>
      <c r="B187" t="s">
        <v>647</v>
      </c>
      <c r="C187" s="1">
        <v>45197</v>
      </c>
      <c r="D187" t="s">
        <v>45</v>
      </c>
      <c r="E187" t="s">
        <v>17</v>
      </c>
      <c r="F187" t="s">
        <v>61</v>
      </c>
      <c r="G187" t="s">
        <v>62</v>
      </c>
      <c r="H187">
        <v>3</v>
      </c>
      <c r="I187">
        <v>324000</v>
      </c>
      <c r="J187" t="s">
        <v>46</v>
      </c>
      <c r="K187" t="s">
        <v>21</v>
      </c>
      <c r="L187">
        <v>30</v>
      </c>
      <c r="M187" t="s">
        <v>22</v>
      </c>
      <c r="N187" t="s">
        <v>648</v>
      </c>
    </row>
    <row r="188" spans="1:14" x14ac:dyDescent="0.35">
      <c r="A188" t="s">
        <v>649</v>
      </c>
      <c r="B188" t="s">
        <v>650</v>
      </c>
      <c r="C188" s="1">
        <v>45125</v>
      </c>
      <c r="D188" t="s">
        <v>16</v>
      </c>
      <c r="E188" t="s">
        <v>55</v>
      </c>
      <c r="F188" t="s">
        <v>163</v>
      </c>
      <c r="G188" t="s">
        <v>282</v>
      </c>
      <c r="H188">
        <v>4</v>
      </c>
      <c r="I188">
        <v>480000</v>
      </c>
      <c r="J188" t="s">
        <v>28</v>
      </c>
      <c r="K188" t="s">
        <v>21</v>
      </c>
      <c r="L188">
        <v>19</v>
      </c>
      <c r="M188" t="s">
        <v>30</v>
      </c>
      <c r="N188" t="s">
        <v>651</v>
      </c>
    </row>
    <row r="189" spans="1:14" x14ac:dyDescent="0.35">
      <c r="A189" t="s">
        <v>652</v>
      </c>
      <c r="B189" t="s">
        <v>653</v>
      </c>
      <c r="C189" s="1">
        <v>45418</v>
      </c>
      <c r="D189" t="s">
        <v>66</v>
      </c>
      <c r="E189" t="s">
        <v>55</v>
      </c>
      <c r="F189" t="s">
        <v>77</v>
      </c>
      <c r="G189" t="s">
        <v>91</v>
      </c>
      <c r="H189">
        <v>1</v>
      </c>
      <c r="I189">
        <v>60000</v>
      </c>
      <c r="J189" t="s">
        <v>83</v>
      </c>
      <c r="K189" t="s">
        <v>29</v>
      </c>
      <c r="L189">
        <v>30</v>
      </c>
      <c r="M189" t="s">
        <v>30</v>
      </c>
      <c r="N189" t="s">
        <v>654</v>
      </c>
    </row>
    <row r="190" spans="1:14" x14ac:dyDescent="0.35">
      <c r="A190" t="s">
        <v>655</v>
      </c>
      <c r="B190" t="s">
        <v>656</v>
      </c>
      <c r="C190" s="1">
        <v>45171</v>
      </c>
      <c r="D190" t="s">
        <v>66</v>
      </c>
      <c r="E190" t="s">
        <v>55</v>
      </c>
      <c r="F190" t="s">
        <v>77</v>
      </c>
      <c r="G190" t="s">
        <v>136</v>
      </c>
      <c r="H190">
        <v>2</v>
      </c>
      <c r="I190">
        <v>168000</v>
      </c>
      <c r="J190" t="s">
        <v>83</v>
      </c>
      <c r="K190" t="s">
        <v>41</v>
      </c>
      <c r="L190">
        <v>12</v>
      </c>
      <c r="M190" t="s">
        <v>30</v>
      </c>
      <c r="N190" t="s">
        <v>657</v>
      </c>
    </row>
    <row r="191" spans="1:14" x14ac:dyDescent="0.35">
      <c r="A191" t="s">
        <v>658</v>
      </c>
      <c r="B191" t="s">
        <v>659</v>
      </c>
      <c r="C191" s="1">
        <v>45177</v>
      </c>
      <c r="D191" t="s">
        <v>72</v>
      </c>
      <c r="E191" t="s">
        <v>34</v>
      </c>
      <c r="F191" t="s">
        <v>50</v>
      </c>
      <c r="G191" t="s">
        <v>51</v>
      </c>
      <c r="H191">
        <v>1</v>
      </c>
      <c r="I191">
        <v>45000</v>
      </c>
      <c r="J191" t="s">
        <v>83</v>
      </c>
      <c r="K191" t="s">
        <v>29</v>
      </c>
      <c r="L191">
        <v>13</v>
      </c>
      <c r="M191" t="s">
        <v>22</v>
      </c>
      <c r="N191" t="s">
        <v>660</v>
      </c>
    </row>
    <row r="192" spans="1:14" x14ac:dyDescent="0.35">
      <c r="A192" t="s">
        <v>661</v>
      </c>
      <c r="B192" t="s">
        <v>662</v>
      </c>
      <c r="C192" s="1">
        <v>45624</v>
      </c>
      <c r="D192" t="s">
        <v>66</v>
      </c>
      <c r="E192" t="s">
        <v>34</v>
      </c>
      <c r="F192" t="s">
        <v>50</v>
      </c>
      <c r="G192" t="s">
        <v>73</v>
      </c>
      <c r="H192">
        <v>2</v>
      </c>
      <c r="I192">
        <v>168000</v>
      </c>
      <c r="J192" t="s">
        <v>46</v>
      </c>
      <c r="K192" t="s">
        <v>41</v>
      </c>
      <c r="L192">
        <v>44</v>
      </c>
      <c r="M192" t="s">
        <v>30</v>
      </c>
      <c r="N192" t="s">
        <v>663</v>
      </c>
    </row>
    <row r="193" spans="1:14" x14ac:dyDescent="0.35">
      <c r="A193" t="s">
        <v>664</v>
      </c>
      <c r="B193" t="s">
        <v>665</v>
      </c>
      <c r="C193" s="1">
        <v>45411</v>
      </c>
      <c r="D193" t="s">
        <v>45</v>
      </c>
      <c r="E193" t="s">
        <v>17</v>
      </c>
      <c r="F193" t="s">
        <v>163</v>
      </c>
      <c r="G193" t="s">
        <v>201</v>
      </c>
      <c r="H193">
        <v>2</v>
      </c>
      <c r="I193">
        <v>252000</v>
      </c>
      <c r="J193" t="s">
        <v>46</v>
      </c>
      <c r="K193" t="s">
        <v>41</v>
      </c>
      <c r="L193">
        <v>49</v>
      </c>
      <c r="M193" t="s">
        <v>30</v>
      </c>
      <c r="N193" t="s">
        <v>666</v>
      </c>
    </row>
    <row r="194" spans="1:14" x14ac:dyDescent="0.35">
      <c r="A194" t="s">
        <v>667</v>
      </c>
      <c r="B194" t="s">
        <v>668</v>
      </c>
      <c r="C194" s="1">
        <v>45316</v>
      </c>
      <c r="D194" t="s">
        <v>72</v>
      </c>
      <c r="E194" t="s">
        <v>34</v>
      </c>
      <c r="F194" t="s">
        <v>163</v>
      </c>
      <c r="G194" t="s">
        <v>536</v>
      </c>
      <c r="H194">
        <v>1</v>
      </c>
      <c r="I194">
        <v>45000</v>
      </c>
      <c r="J194" t="s">
        <v>108</v>
      </c>
      <c r="K194" t="s">
        <v>29</v>
      </c>
      <c r="L194">
        <v>28</v>
      </c>
      <c r="M194" t="s">
        <v>30</v>
      </c>
      <c r="N194" t="s">
        <v>669</v>
      </c>
    </row>
    <row r="195" spans="1:14" x14ac:dyDescent="0.35">
      <c r="A195" t="s">
        <v>670</v>
      </c>
      <c r="B195" t="s">
        <v>671</v>
      </c>
      <c r="C195" s="1">
        <v>45269</v>
      </c>
      <c r="D195" t="s">
        <v>16</v>
      </c>
      <c r="E195" t="s">
        <v>17</v>
      </c>
      <c r="F195" t="s">
        <v>26</v>
      </c>
      <c r="G195" t="s">
        <v>27</v>
      </c>
      <c r="H195">
        <v>5</v>
      </c>
      <c r="I195">
        <v>500000</v>
      </c>
      <c r="J195" t="s">
        <v>20</v>
      </c>
      <c r="K195" t="s">
        <v>29</v>
      </c>
      <c r="L195">
        <v>8</v>
      </c>
      <c r="M195" t="s">
        <v>30</v>
      </c>
      <c r="N195" t="s">
        <v>672</v>
      </c>
    </row>
    <row r="196" spans="1:14" x14ac:dyDescent="0.35">
      <c r="A196" t="s">
        <v>673</v>
      </c>
      <c r="B196" t="s">
        <v>674</v>
      </c>
      <c r="C196" s="1">
        <v>45761</v>
      </c>
      <c r="D196" t="s">
        <v>66</v>
      </c>
      <c r="E196" t="s">
        <v>55</v>
      </c>
      <c r="F196" t="s">
        <v>26</v>
      </c>
      <c r="G196" t="s">
        <v>27</v>
      </c>
      <c r="H196">
        <v>1</v>
      </c>
      <c r="I196">
        <v>84000</v>
      </c>
      <c r="J196" t="s">
        <v>83</v>
      </c>
      <c r="K196" t="s">
        <v>41</v>
      </c>
      <c r="L196">
        <v>40</v>
      </c>
      <c r="M196" t="s">
        <v>22</v>
      </c>
      <c r="N196" t="s">
        <v>675</v>
      </c>
    </row>
    <row r="197" spans="1:14" x14ac:dyDescent="0.35">
      <c r="A197" t="s">
        <v>676</v>
      </c>
      <c r="B197" t="s">
        <v>677</v>
      </c>
      <c r="C197" s="1">
        <v>45357</v>
      </c>
      <c r="D197" t="s">
        <v>45</v>
      </c>
      <c r="E197" t="s">
        <v>17</v>
      </c>
      <c r="F197" t="s">
        <v>26</v>
      </c>
      <c r="G197" t="s">
        <v>87</v>
      </c>
      <c r="H197">
        <v>5</v>
      </c>
      <c r="I197">
        <v>450000</v>
      </c>
      <c r="J197" t="s">
        <v>83</v>
      </c>
      <c r="K197" t="s">
        <v>29</v>
      </c>
      <c r="L197">
        <v>37</v>
      </c>
      <c r="M197" t="s">
        <v>30</v>
      </c>
      <c r="N197" t="s">
        <v>678</v>
      </c>
    </row>
    <row r="198" spans="1:14" x14ac:dyDescent="0.35">
      <c r="A198" t="s">
        <v>679</v>
      </c>
      <c r="B198" t="s">
        <v>680</v>
      </c>
      <c r="C198" s="1">
        <v>45675</v>
      </c>
      <c r="D198" t="s">
        <v>66</v>
      </c>
      <c r="E198" t="s">
        <v>55</v>
      </c>
      <c r="F198" t="s">
        <v>67</v>
      </c>
      <c r="G198" t="s">
        <v>68</v>
      </c>
      <c r="H198">
        <v>1</v>
      </c>
      <c r="I198">
        <v>84000</v>
      </c>
      <c r="J198" t="s">
        <v>46</v>
      </c>
      <c r="K198" t="s">
        <v>41</v>
      </c>
      <c r="L198">
        <v>27</v>
      </c>
      <c r="M198" t="s">
        <v>22</v>
      </c>
      <c r="N198" t="s">
        <v>681</v>
      </c>
    </row>
    <row r="199" spans="1:14" x14ac:dyDescent="0.35">
      <c r="A199" t="s">
        <v>682</v>
      </c>
      <c r="B199" t="s">
        <v>683</v>
      </c>
      <c r="C199" s="1">
        <v>45613</v>
      </c>
      <c r="D199" t="s">
        <v>16</v>
      </c>
      <c r="E199" t="s">
        <v>55</v>
      </c>
      <c r="F199" t="s">
        <v>77</v>
      </c>
      <c r="G199" t="s">
        <v>91</v>
      </c>
      <c r="H199">
        <v>5</v>
      </c>
      <c r="I199">
        <v>600000</v>
      </c>
      <c r="J199" t="s">
        <v>46</v>
      </c>
      <c r="K199" t="s">
        <v>21</v>
      </c>
      <c r="L199">
        <v>13</v>
      </c>
      <c r="M199" t="s">
        <v>30</v>
      </c>
      <c r="N199" t="s">
        <v>684</v>
      </c>
    </row>
    <row r="200" spans="1:14" x14ac:dyDescent="0.35">
      <c r="A200" t="s">
        <v>685</v>
      </c>
      <c r="B200" t="s">
        <v>686</v>
      </c>
      <c r="C200" s="1">
        <v>45525</v>
      </c>
      <c r="D200" t="s">
        <v>16</v>
      </c>
      <c r="E200" t="s">
        <v>55</v>
      </c>
      <c r="F200" t="s">
        <v>39</v>
      </c>
      <c r="G200" t="s">
        <v>140</v>
      </c>
      <c r="H200">
        <v>4</v>
      </c>
      <c r="I200">
        <v>560000</v>
      </c>
      <c r="J200" t="s">
        <v>83</v>
      </c>
      <c r="K200" t="s">
        <v>41</v>
      </c>
      <c r="L200">
        <v>30</v>
      </c>
      <c r="M200" t="s">
        <v>22</v>
      </c>
      <c r="N200" t="s">
        <v>687</v>
      </c>
    </row>
    <row r="201" spans="1:14" x14ac:dyDescent="0.35">
      <c r="A201" t="s">
        <v>688</v>
      </c>
      <c r="B201" t="s">
        <v>689</v>
      </c>
      <c r="C201" s="1">
        <v>45677</v>
      </c>
      <c r="D201" t="s">
        <v>16</v>
      </c>
      <c r="E201" t="s">
        <v>34</v>
      </c>
      <c r="F201" t="s">
        <v>252</v>
      </c>
      <c r="G201" t="s">
        <v>257</v>
      </c>
      <c r="H201">
        <v>2</v>
      </c>
      <c r="I201">
        <v>240000</v>
      </c>
      <c r="J201" t="s">
        <v>20</v>
      </c>
      <c r="K201" t="s">
        <v>21</v>
      </c>
      <c r="L201">
        <v>29</v>
      </c>
      <c r="M201" t="s">
        <v>22</v>
      </c>
      <c r="N201" t="s">
        <v>690</v>
      </c>
    </row>
    <row r="202" spans="1:14" x14ac:dyDescent="0.35">
      <c r="A202" t="s">
        <v>691</v>
      </c>
      <c r="B202" t="s">
        <v>692</v>
      </c>
      <c r="C202" s="1">
        <v>45420</v>
      </c>
      <c r="D202" t="s">
        <v>66</v>
      </c>
      <c r="E202" t="s">
        <v>55</v>
      </c>
      <c r="F202" t="s">
        <v>26</v>
      </c>
      <c r="G202" t="s">
        <v>27</v>
      </c>
      <c r="H202">
        <v>3</v>
      </c>
      <c r="I202">
        <v>180000</v>
      </c>
      <c r="J202" t="s">
        <v>83</v>
      </c>
      <c r="K202" t="s">
        <v>29</v>
      </c>
      <c r="L202">
        <v>24</v>
      </c>
      <c r="M202" t="s">
        <v>30</v>
      </c>
      <c r="N202" t="s">
        <v>693</v>
      </c>
    </row>
    <row r="203" spans="1:14" x14ac:dyDescent="0.35">
      <c r="A203" t="s">
        <v>694</v>
      </c>
      <c r="B203" t="s">
        <v>695</v>
      </c>
      <c r="C203" s="1">
        <v>45265</v>
      </c>
      <c r="D203" t="s">
        <v>45</v>
      </c>
      <c r="E203" t="s">
        <v>55</v>
      </c>
      <c r="F203" t="s">
        <v>26</v>
      </c>
      <c r="G203" t="s">
        <v>221</v>
      </c>
      <c r="H203">
        <v>5</v>
      </c>
      <c r="I203">
        <v>450000</v>
      </c>
      <c r="J203" t="s">
        <v>20</v>
      </c>
      <c r="K203" t="s">
        <v>29</v>
      </c>
      <c r="L203">
        <v>5</v>
      </c>
      <c r="M203" t="s">
        <v>30</v>
      </c>
      <c r="N203" t="s">
        <v>696</v>
      </c>
    </row>
    <row r="204" spans="1:14" x14ac:dyDescent="0.35">
      <c r="A204" t="s">
        <v>697</v>
      </c>
      <c r="B204" t="s">
        <v>698</v>
      </c>
      <c r="C204" s="1">
        <v>45115</v>
      </c>
      <c r="D204" t="s">
        <v>72</v>
      </c>
      <c r="E204" t="s">
        <v>34</v>
      </c>
      <c r="F204" t="s">
        <v>61</v>
      </c>
      <c r="G204" t="s">
        <v>62</v>
      </c>
      <c r="H204">
        <v>4</v>
      </c>
      <c r="I204">
        <v>252000</v>
      </c>
      <c r="J204" t="s">
        <v>108</v>
      </c>
      <c r="K204" t="s">
        <v>41</v>
      </c>
      <c r="L204">
        <v>58</v>
      </c>
      <c r="M204" t="s">
        <v>30</v>
      </c>
      <c r="N204" t="s">
        <v>699</v>
      </c>
    </row>
    <row r="205" spans="1:14" x14ac:dyDescent="0.35">
      <c r="A205" t="s">
        <v>700</v>
      </c>
      <c r="B205" t="s">
        <v>701</v>
      </c>
      <c r="C205" s="1">
        <v>45460</v>
      </c>
      <c r="D205" t="s">
        <v>66</v>
      </c>
      <c r="E205" t="s">
        <v>34</v>
      </c>
      <c r="F205" t="s">
        <v>163</v>
      </c>
      <c r="G205" t="s">
        <v>164</v>
      </c>
      <c r="H205">
        <v>5</v>
      </c>
      <c r="I205">
        <v>420000</v>
      </c>
      <c r="J205" t="s">
        <v>83</v>
      </c>
      <c r="K205" t="s">
        <v>41</v>
      </c>
      <c r="L205">
        <v>60</v>
      </c>
      <c r="M205" t="s">
        <v>30</v>
      </c>
      <c r="N205" t="s">
        <v>702</v>
      </c>
    </row>
    <row r="206" spans="1:14" x14ac:dyDescent="0.35">
      <c r="A206" t="s">
        <v>703</v>
      </c>
      <c r="B206" t="s">
        <v>704</v>
      </c>
      <c r="C206" s="1">
        <v>45426</v>
      </c>
      <c r="D206" t="s">
        <v>72</v>
      </c>
      <c r="E206" t="s">
        <v>17</v>
      </c>
      <c r="F206" t="s">
        <v>50</v>
      </c>
      <c r="G206" t="s">
        <v>73</v>
      </c>
      <c r="H206">
        <v>3</v>
      </c>
      <c r="I206">
        <v>162000</v>
      </c>
      <c r="J206" t="s">
        <v>83</v>
      </c>
      <c r="K206" t="s">
        <v>21</v>
      </c>
      <c r="L206">
        <v>13</v>
      </c>
      <c r="M206" t="s">
        <v>30</v>
      </c>
      <c r="N206" t="s">
        <v>705</v>
      </c>
    </row>
    <row r="207" spans="1:14" x14ac:dyDescent="0.35">
      <c r="A207" t="s">
        <v>706</v>
      </c>
      <c r="B207" t="s">
        <v>707</v>
      </c>
      <c r="C207" s="1">
        <v>45673</v>
      </c>
      <c r="D207" t="s">
        <v>45</v>
      </c>
      <c r="E207" t="s">
        <v>34</v>
      </c>
      <c r="F207" t="s">
        <v>18</v>
      </c>
      <c r="G207" t="s">
        <v>181</v>
      </c>
      <c r="H207">
        <v>1</v>
      </c>
      <c r="I207">
        <v>126000</v>
      </c>
      <c r="J207" t="s">
        <v>83</v>
      </c>
      <c r="K207" t="s">
        <v>41</v>
      </c>
      <c r="L207">
        <v>32</v>
      </c>
      <c r="M207" t="s">
        <v>22</v>
      </c>
      <c r="N207" t="s">
        <v>708</v>
      </c>
    </row>
    <row r="208" spans="1:14" x14ac:dyDescent="0.35">
      <c r="A208" t="s">
        <v>709</v>
      </c>
      <c r="B208" t="s">
        <v>710</v>
      </c>
      <c r="C208" s="1">
        <v>45077</v>
      </c>
      <c r="D208" t="s">
        <v>72</v>
      </c>
      <c r="E208" t="s">
        <v>17</v>
      </c>
      <c r="F208" t="s">
        <v>61</v>
      </c>
      <c r="G208" t="s">
        <v>290</v>
      </c>
      <c r="H208">
        <v>4</v>
      </c>
      <c r="I208">
        <v>216000</v>
      </c>
      <c r="J208" t="s">
        <v>46</v>
      </c>
      <c r="K208" t="s">
        <v>21</v>
      </c>
      <c r="L208">
        <v>25</v>
      </c>
      <c r="M208" t="s">
        <v>30</v>
      </c>
      <c r="N208" t="s">
        <v>711</v>
      </c>
    </row>
    <row r="209" spans="1:14" x14ac:dyDescent="0.35">
      <c r="A209" t="s">
        <v>712</v>
      </c>
      <c r="B209" t="s">
        <v>713</v>
      </c>
      <c r="C209" s="1">
        <v>45086</v>
      </c>
      <c r="D209" t="s">
        <v>72</v>
      </c>
      <c r="E209" t="s">
        <v>17</v>
      </c>
      <c r="F209" t="s">
        <v>18</v>
      </c>
      <c r="G209" t="s">
        <v>181</v>
      </c>
      <c r="H209">
        <v>4</v>
      </c>
      <c r="I209">
        <v>180000</v>
      </c>
      <c r="J209" t="s">
        <v>28</v>
      </c>
      <c r="K209" t="s">
        <v>29</v>
      </c>
      <c r="L209">
        <v>57</v>
      </c>
      <c r="M209" t="s">
        <v>22</v>
      </c>
      <c r="N209" t="s">
        <v>714</v>
      </c>
    </row>
    <row r="210" spans="1:14" x14ac:dyDescent="0.35">
      <c r="A210" t="s">
        <v>715</v>
      </c>
      <c r="B210" t="s">
        <v>716</v>
      </c>
      <c r="C210" s="1">
        <v>45562</v>
      </c>
      <c r="D210" t="s">
        <v>16</v>
      </c>
      <c r="E210" t="s">
        <v>34</v>
      </c>
      <c r="F210" t="s">
        <v>39</v>
      </c>
      <c r="G210" t="s">
        <v>393</v>
      </c>
      <c r="H210">
        <v>5</v>
      </c>
      <c r="I210">
        <v>600000</v>
      </c>
      <c r="J210" t="s">
        <v>20</v>
      </c>
      <c r="K210" t="s">
        <v>21</v>
      </c>
      <c r="L210">
        <v>12</v>
      </c>
      <c r="M210" t="s">
        <v>30</v>
      </c>
      <c r="N210" t="s">
        <v>717</v>
      </c>
    </row>
    <row r="211" spans="1:14" x14ac:dyDescent="0.35">
      <c r="A211" t="s">
        <v>718</v>
      </c>
      <c r="B211" t="s">
        <v>719</v>
      </c>
      <c r="C211" s="1">
        <v>45740</v>
      </c>
      <c r="D211" t="s">
        <v>66</v>
      </c>
      <c r="E211" t="s">
        <v>55</v>
      </c>
      <c r="F211" t="s">
        <v>61</v>
      </c>
      <c r="G211" t="s">
        <v>290</v>
      </c>
      <c r="H211">
        <v>4</v>
      </c>
      <c r="I211">
        <v>336000</v>
      </c>
      <c r="J211" t="s">
        <v>108</v>
      </c>
      <c r="K211" t="s">
        <v>41</v>
      </c>
      <c r="L211">
        <v>35</v>
      </c>
      <c r="M211" t="s">
        <v>22</v>
      </c>
      <c r="N211" t="s">
        <v>720</v>
      </c>
    </row>
    <row r="212" spans="1:14" x14ac:dyDescent="0.35">
      <c r="A212" t="s">
        <v>721</v>
      </c>
      <c r="B212" t="s">
        <v>722</v>
      </c>
      <c r="C212" s="1">
        <v>45090</v>
      </c>
      <c r="D212" t="s">
        <v>72</v>
      </c>
      <c r="E212" t="s">
        <v>17</v>
      </c>
      <c r="F212" t="s">
        <v>252</v>
      </c>
      <c r="G212" t="s">
        <v>253</v>
      </c>
      <c r="H212">
        <v>2</v>
      </c>
      <c r="I212">
        <v>108000</v>
      </c>
      <c r="J212" t="s">
        <v>108</v>
      </c>
      <c r="K212" t="s">
        <v>21</v>
      </c>
      <c r="L212">
        <v>11</v>
      </c>
      <c r="M212" t="s">
        <v>22</v>
      </c>
      <c r="N212" t="s">
        <v>723</v>
      </c>
    </row>
    <row r="213" spans="1:14" x14ac:dyDescent="0.35">
      <c r="A213" t="s">
        <v>724</v>
      </c>
      <c r="B213" t="s">
        <v>725</v>
      </c>
      <c r="C213" s="1">
        <v>45179</v>
      </c>
      <c r="D213" t="s">
        <v>66</v>
      </c>
      <c r="E213" t="s">
        <v>55</v>
      </c>
      <c r="F213" t="s">
        <v>56</v>
      </c>
      <c r="G213" t="s">
        <v>57</v>
      </c>
      <c r="H213">
        <v>1</v>
      </c>
      <c r="I213">
        <v>60000</v>
      </c>
      <c r="J213" t="s">
        <v>108</v>
      </c>
      <c r="K213" t="s">
        <v>29</v>
      </c>
      <c r="L213">
        <v>18</v>
      </c>
      <c r="M213" t="s">
        <v>30</v>
      </c>
      <c r="N213" t="s">
        <v>726</v>
      </c>
    </row>
    <row r="214" spans="1:14" x14ac:dyDescent="0.35">
      <c r="A214" t="s">
        <v>727</v>
      </c>
      <c r="B214" t="s">
        <v>728</v>
      </c>
      <c r="C214" s="1">
        <v>45490</v>
      </c>
      <c r="D214" t="s">
        <v>45</v>
      </c>
      <c r="E214" t="s">
        <v>34</v>
      </c>
      <c r="F214" t="s">
        <v>56</v>
      </c>
      <c r="G214" t="s">
        <v>116</v>
      </c>
      <c r="H214">
        <v>4</v>
      </c>
      <c r="I214">
        <v>360000</v>
      </c>
      <c r="J214" t="s">
        <v>20</v>
      </c>
      <c r="K214" t="s">
        <v>29</v>
      </c>
      <c r="L214">
        <v>21</v>
      </c>
      <c r="M214" t="s">
        <v>22</v>
      </c>
      <c r="N214" t="s">
        <v>729</v>
      </c>
    </row>
    <row r="215" spans="1:14" x14ac:dyDescent="0.35">
      <c r="A215" t="s">
        <v>730</v>
      </c>
      <c r="B215" t="s">
        <v>731</v>
      </c>
      <c r="C215" s="1">
        <v>45430</v>
      </c>
      <c r="D215" t="s">
        <v>66</v>
      </c>
      <c r="E215" t="s">
        <v>55</v>
      </c>
      <c r="F215" t="s">
        <v>18</v>
      </c>
      <c r="G215" t="s">
        <v>103</v>
      </c>
      <c r="H215">
        <v>3</v>
      </c>
      <c r="I215">
        <v>216000</v>
      </c>
      <c r="J215" t="s">
        <v>28</v>
      </c>
      <c r="K215" t="s">
        <v>21</v>
      </c>
      <c r="L215">
        <v>48</v>
      </c>
      <c r="M215" t="s">
        <v>22</v>
      </c>
      <c r="N215" t="s">
        <v>732</v>
      </c>
    </row>
    <row r="216" spans="1:14" x14ac:dyDescent="0.35">
      <c r="A216" t="s">
        <v>733</v>
      </c>
      <c r="B216" t="s">
        <v>734</v>
      </c>
      <c r="C216" s="1">
        <v>45299</v>
      </c>
      <c r="D216" t="s">
        <v>45</v>
      </c>
      <c r="E216" t="s">
        <v>34</v>
      </c>
      <c r="F216" t="s">
        <v>26</v>
      </c>
      <c r="G216" t="s">
        <v>35</v>
      </c>
      <c r="H216">
        <v>4</v>
      </c>
      <c r="I216">
        <v>504000</v>
      </c>
      <c r="J216" t="s">
        <v>28</v>
      </c>
      <c r="K216" t="s">
        <v>41</v>
      </c>
      <c r="L216">
        <v>15</v>
      </c>
      <c r="M216" t="s">
        <v>30</v>
      </c>
      <c r="N216" t="s">
        <v>735</v>
      </c>
    </row>
    <row r="217" spans="1:14" x14ac:dyDescent="0.35">
      <c r="A217" t="s">
        <v>736</v>
      </c>
      <c r="B217" t="s">
        <v>737</v>
      </c>
      <c r="C217" s="1">
        <v>45699</v>
      </c>
      <c r="D217" t="s">
        <v>72</v>
      </c>
      <c r="E217" t="s">
        <v>34</v>
      </c>
      <c r="F217" t="s">
        <v>163</v>
      </c>
      <c r="G217" t="s">
        <v>164</v>
      </c>
      <c r="H217">
        <v>2</v>
      </c>
      <c r="I217">
        <v>90000</v>
      </c>
      <c r="J217" t="s">
        <v>83</v>
      </c>
      <c r="K217" t="s">
        <v>29</v>
      </c>
      <c r="L217">
        <v>55</v>
      </c>
      <c r="M217" t="s">
        <v>22</v>
      </c>
      <c r="N217" t="s">
        <v>738</v>
      </c>
    </row>
    <row r="218" spans="1:14" x14ac:dyDescent="0.35">
      <c r="A218" t="s">
        <v>739</v>
      </c>
      <c r="B218" t="s">
        <v>740</v>
      </c>
      <c r="C218" s="1">
        <v>45743</v>
      </c>
      <c r="D218" t="s">
        <v>66</v>
      </c>
      <c r="E218" t="s">
        <v>34</v>
      </c>
      <c r="F218" t="s">
        <v>252</v>
      </c>
      <c r="G218" t="s">
        <v>253</v>
      </c>
      <c r="H218">
        <v>4</v>
      </c>
      <c r="I218">
        <v>240000</v>
      </c>
      <c r="J218" t="s">
        <v>28</v>
      </c>
      <c r="K218" t="s">
        <v>29</v>
      </c>
      <c r="L218">
        <v>60</v>
      </c>
      <c r="M218" t="s">
        <v>30</v>
      </c>
      <c r="N218" t="s">
        <v>741</v>
      </c>
    </row>
    <row r="219" spans="1:14" x14ac:dyDescent="0.35">
      <c r="A219" t="s">
        <v>742</v>
      </c>
      <c r="B219" t="s">
        <v>743</v>
      </c>
      <c r="C219" s="1">
        <v>45378</v>
      </c>
      <c r="D219" t="s">
        <v>66</v>
      </c>
      <c r="E219" t="s">
        <v>55</v>
      </c>
      <c r="F219" t="s">
        <v>56</v>
      </c>
      <c r="G219" t="s">
        <v>57</v>
      </c>
      <c r="H219">
        <v>2</v>
      </c>
      <c r="I219">
        <v>168000</v>
      </c>
      <c r="J219" t="s">
        <v>46</v>
      </c>
      <c r="K219" t="s">
        <v>41</v>
      </c>
      <c r="L219">
        <v>46</v>
      </c>
      <c r="M219" t="s">
        <v>22</v>
      </c>
      <c r="N219" t="s">
        <v>744</v>
      </c>
    </row>
    <row r="220" spans="1:14" x14ac:dyDescent="0.35">
      <c r="A220" t="s">
        <v>745</v>
      </c>
      <c r="B220" t="s">
        <v>746</v>
      </c>
      <c r="C220" s="1">
        <v>45544</v>
      </c>
      <c r="D220" t="s">
        <v>45</v>
      </c>
      <c r="E220" t="s">
        <v>17</v>
      </c>
      <c r="F220" t="s">
        <v>77</v>
      </c>
      <c r="G220" t="s">
        <v>168</v>
      </c>
      <c r="H220">
        <v>5</v>
      </c>
      <c r="I220">
        <v>630000</v>
      </c>
      <c r="J220" t="s">
        <v>83</v>
      </c>
      <c r="K220" t="s">
        <v>41</v>
      </c>
      <c r="L220">
        <v>17</v>
      </c>
      <c r="M220" t="s">
        <v>30</v>
      </c>
      <c r="N220" t="s">
        <v>747</v>
      </c>
    </row>
    <row r="221" spans="1:14" x14ac:dyDescent="0.35">
      <c r="A221" t="s">
        <v>748</v>
      </c>
      <c r="B221" t="s">
        <v>749</v>
      </c>
      <c r="C221" s="1">
        <v>45067</v>
      </c>
      <c r="D221" t="s">
        <v>16</v>
      </c>
      <c r="E221" t="s">
        <v>55</v>
      </c>
      <c r="F221" t="s">
        <v>39</v>
      </c>
      <c r="G221" t="s">
        <v>140</v>
      </c>
      <c r="H221">
        <v>4</v>
      </c>
      <c r="I221">
        <v>560000</v>
      </c>
      <c r="J221" t="s">
        <v>46</v>
      </c>
      <c r="K221" t="s">
        <v>41</v>
      </c>
      <c r="L221">
        <v>57</v>
      </c>
      <c r="M221" t="s">
        <v>22</v>
      </c>
      <c r="N221" t="s">
        <v>750</v>
      </c>
    </row>
    <row r="222" spans="1:14" x14ac:dyDescent="0.35">
      <c r="A222" t="s">
        <v>751</v>
      </c>
      <c r="B222" t="s">
        <v>752</v>
      </c>
      <c r="C222" s="1">
        <v>45122</v>
      </c>
      <c r="D222" t="s">
        <v>45</v>
      </c>
      <c r="E222" t="s">
        <v>34</v>
      </c>
      <c r="F222" t="s">
        <v>252</v>
      </c>
      <c r="G222" t="s">
        <v>286</v>
      </c>
      <c r="H222">
        <v>5</v>
      </c>
      <c r="I222">
        <v>630000</v>
      </c>
      <c r="J222" t="s">
        <v>20</v>
      </c>
      <c r="K222" t="s">
        <v>41</v>
      </c>
      <c r="L222">
        <v>47</v>
      </c>
      <c r="M222" t="s">
        <v>30</v>
      </c>
      <c r="N222" t="s">
        <v>753</v>
      </c>
    </row>
    <row r="223" spans="1:14" x14ac:dyDescent="0.35">
      <c r="A223" t="s">
        <v>754</v>
      </c>
      <c r="B223" t="s">
        <v>755</v>
      </c>
      <c r="C223" s="1">
        <v>45072</v>
      </c>
      <c r="D223" t="s">
        <v>66</v>
      </c>
      <c r="E223" t="s">
        <v>34</v>
      </c>
      <c r="F223" t="s">
        <v>61</v>
      </c>
      <c r="G223" t="s">
        <v>62</v>
      </c>
      <c r="H223">
        <v>5</v>
      </c>
      <c r="I223">
        <v>420000</v>
      </c>
      <c r="J223" t="s">
        <v>20</v>
      </c>
      <c r="K223" t="s">
        <v>41</v>
      </c>
      <c r="L223">
        <v>17</v>
      </c>
      <c r="M223" t="s">
        <v>30</v>
      </c>
      <c r="N223" t="s">
        <v>756</v>
      </c>
    </row>
    <row r="224" spans="1:14" x14ac:dyDescent="0.35">
      <c r="A224" t="s">
        <v>757</v>
      </c>
      <c r="B224" t="s">
        <v>758</v>
      </c>
      <c r="C224" s="1">
        <v>45354</v>
      </c>
      <c r="D224" t="s">
        <v>45</v>
      </c>
      <c r="E224" t="s">
        <v>34</v>
      </c>
      <c r="F224" t="s">
        <v>26</v>
      </c>
      <c r="G224" t="s">
        <v>35</v>
      </c>
      <c r="H224">
        <v>5</v>
      </c>
      <c r="I224">
        <v>450000</v>
      </c>
      <c r="J224" t="s">
        <v>83</v>
      </c>
      <c r="K224" t="s">
        <v>29</v>
      </c>
      <c r="L224">
        <v>15</v>
      </c>
      <c r="M224" t="s">
        <v>22</v>
      </c>
      <c r="N224" t="s">
        <v>759</v>
      </c>
    </row>
    <row r="225" spans="1:14" x14ac:dyDescent="0.35">
      <c r="A225" t="s">
        <v>760</v>
      </c>
      <c r="B225" t="s">
        <v>761</v>
      </c>
      <c r="C225" s="1">
        <v>45447</v>
      </c>
      <c r="D225" t="s">
        <v>16</v>
      </c>
      <c r="E225" t="s">
        <v>55</v>
      </c>
      <c r="F225" t="s">
        <v>26</v>
      </c>
      <c r="G225" t="s">
        <v>35</v>
      </c>
      <c r="H225">
        <v>5</v>
      </c>
      <c r="I225">
        <v>700000</v>
      </c>
      <c r="J225" t="s">
        <v>20</v>
      </c>
      <c r="K225" t="s">
        <v>41</v>
      </c>
      <c r="L225">
        <v>9</v>
      </c>
      <c r="M225" t="s">
        <v>30</v>
      </c>
      <c r="N225" t="s">
        <v>762</v>
      </c>
    </row>
    <row r="226" spans="1:14" x14ac:dyDescent="0.35">
      <c r="A226" t="s">
        <v>763</v>
      </c>
      <c r="B226" t="s">
        <v>764</v>
      </c>
      <c r="C226" s="1">
        <v>45342</v>
      </c>
      <c r="D226" t="s">
        <v>16</v>
      </c>
      <c r="E226" t="s">
        <v>34</v>
      </c>
      <c r="F226" t="s">
        <v>77</v>
      </c>
      <c r="G226" t="s">
        <v>168</v>
      </c>
      <c r="H226">
        <v>2</v>
      </c>
      <c r="I226">
        <v>200000</v>
      </c>
      <c r="J226" t="s">
        <v>83</v>
      </c>
      <c r="K226" t="s">
        <v>29</v>
      </c>
      <c r="L226">
        <v>40</v>
      </c>
      <c r="M226" t="s">
        <v>30</v>
      </c>
      <c r="N226" t="s">
        <v>765</v>
      </c>
    </row>
    <row r="227" spans="1:14" x14ac:dyDescent="0.35">
      <c r="A227" t="s">
        <v>766</v>
      </c>
      <c r="B227" t="s">
        <v>767</v>
      </c>
      <c r="C227" s="1">
        <v>45590</v>
      </c>
      <c r="D227" t="s">
        <v>66</v>
      </c>
      <c r="E227" t="s">
        <v>55</v>
      </c>
      <c r="F227" t="s">
        <v>50</v>
      </c>
      <c r="G227" t="s">
        <v>73</v>
      </c>
      <c r="H227">
        <v>3</v>
      </c>
      <c r="I227">
        <v>180000</v>
      </c>
      <c r="J227" t="s">
        <v>46</v>
      </c>
      <c r="K227" t="s">
        <v>29</v>
      </c>
      <c r="L227">
        <v>56</v>
      </c>
      <c r="M227" t="s">
        <v>22</v>
      </c>
      <c r="N227" t="s">
        <v>323</v>
      </c>
    </row>
    <row r="228" spans="1:14" x14ac:dyDescent="0.35">
      <c r="A228" t="s">
        <v>768</v>
      </c>
      <c r="B228" t="s">
        <v>769</v>
      </c>
      <c r="C228" s="1">
        <v>45071</v>
      </c>
      <c r="D228" t="s">
        <v>16</v>
      </c>
      <c r="E228" t="s">
        <v>55</v>
      </c>
      <c r="F228" t="s">
        <v>252</v>
      </c>
      <c r="G228" t="s">
        <v>307</v>
      </c>
      <c r="H228">
        <v>1</v>
      </c>
      <c r="I228">
        <v>100000</v>
      </c>
      <c r="J228" t="s">
        <v>28</v>
      </c>
      <c r="K228" t="s">
        <v>29</v>
      </c>
      <c r="L228">
        <v>54</v>
      </c>
      <c r="M228" t="s">
        <v>30</v>
      </c>
      <c r="N228" t="s">
        <v>770</v>
      </c>
    </row>
    <row r="229" spans="1:14" x14ac:dyDescent="0.35">
      <c r="A229" t="s">
        <v>771</v>
      </c>
      <c r="B229" t="s">
        <v>772</v>
      </c>
      <c r="C229" s="1">
        <v>45539</v>
      </c>
      <c r="D229" t="s">
        <v>16</v>
      </c>
      <c r="E229" t="s">
        <v>55</v>
      </c>
      <c r="F229" t="s">
        <v>77</v>
      </c>
      <c r="G229" t="s">
        <v>78</v>
      </c>
      <c r="H229">
        <v>1</v>
      </c>
      <c r="I229">
        <v>120000</v>
      </c>
      <c r="J229" t="s">
        <v>83</v>
      </c>
      <c r="K229" t="s">
        <v>21</v>
      </c>
      <c r="L229">
        <v>45</v>
      </c>
      <c r="M229" t="s">
        <v>22</v>
      </c>
      <c r="N229" t="s">
        <v>773</v>
      </c>
    </row>
    <row r="230" spans="1:14" x14ac:dyDescent="0.35">
      <c r="A230" t="s">
        <v>774</v>
      </c>
      <c r="B230" t="s">
        <v>775</v>
      </c>
      <c r="C230" s="1">
        <v>45309</v>
      </c>
      <c r="D230" t="s">
        <v>16</v>
      </c>
      <c r="E230" t="s">
        <v>34</v>
      </c>
      <c r="F230" t="s">
        <v>39</v>
      </c>
      <c r="G230" t="s">
        <v>40</v>
      </c>
      <c r="H230">
        <v>4</v>
      </c>
      <c r="I230">
        <v>480000</v>
      </c>
      <c r="J230" t="s">
        <v>108</v>
      </c>
      <c r="K230" t="s">
        <v>21</v>
      </c>
      <c r="L230">
        <v>43</v>
      </c>
      <c r="M230" t="s">
        <v>30</v>
      </c>
      <c r="N230" t="s">
        <v>776</v>
      </c>
    </row>
    <row r="231" spans="1:14" x14ac:dyDescent="0.35">
      <c r="A231" t="s">
        <v>777</v>
      </c>
      <c r="B231" t="s">
        <v>778</v>
      </c>
      <c r="C231" s="1">
        <v>45053</v>
      </c>
      <c r="D231" t="s">
        <v>66</v>
      </c>
      <c r="E231" t="s">
        <v>17</v>
      </c>
      <c r="F231" t="s">
        <v>39</v>
      </c>
      <c r="G231" t="s">
        <v>188</v>
      </c>
      <c r="H231">
        <v>3</v>
      </c>
      <c r="I231">
        <v>252000</v>
      </c>
      <c r="J231" t="s">
        <v>20</v>
      </c>
      <c r="K231" t="s">
        <v>41</v>
      </c>
      <c r="L231">
        <v>36</v>
      </c>
      <c r="M231" t="s">
        <v>30</v>
      </c>
      <c r="N231" t="s">
        <v>779</v>
      </c>
    </row>
    <row r="232" spans="1:14" x14ac:dyDescent="0.35">
      <c r="A232" t="s">
        <v>780</v>
      </c>
      <c r="B232" t="s">
        <v>781</v>
      </c>
      <c r="C232" s="1">
        <v>45409</v>
      </c>
      <c r="D232" t="s">
        <v>16</v>
      </c>
      <c r="E232" t="s">
        <v>55</v>
      </c>
      <c r="F232" t="s">
        <v>39</v>
      </c>
      <c r="G232" t="s">
        <v>188</v>
      </c>
      <c r="H232">
        <v>3</v>
      </c>
      <c r="I232">
        <v>420000</v>
      </c>
      <c r="J232" t="s">
        <v>108</v>
      </c>
      <c r="K232" t="s">
        <v>41</v>
      </c>
      <c r="L232">
        <v>57</v>
      </c>
      <c r="M232" t="s">
        <v>22</v>
      </c>
      <c r="N232" t="s">
        <v>782</v>
      </c>
    </row>
    <row r="233" spans="1:14" x14ac:dyDescent="0.35">
      <c r="A233" t="s">
        <v>783</v>
      </c>
      <c r="B233" t="s">
        <v>784</v>
      </c>
      <c r="C233" s="1">
        <v>45538</v>
      </c>
      <c r="D233" t="s">
        <v>16</v>
      </c>
      <c r="E233" t="s">
        <v>17</v>
      </c>
      <c r="F233" t="s">
        <v>252</v>
      </c>
      <c r="G233" t="s">
        <v>257</v>
      </c>
      <c r="H233">
        <v>4</v>
      </c>
      <c r="I233">
        <v>560000</v>
      </c>
      <c r="J233" t="s">
        <v>83</v>
      </c>
      <c r="K233" t="s">
        <v>41</v>
      </c>
      <c r="L233">
        <v>26</v>
      </c>
      <c r="M233" t="s">
        <v>30</v>
      </c>
      <c r="N233" t="s">
        <v>785</v>
      </c>
    </row>
    <row r="234" spans="1:14" x14ac:dyDescent="0.35">
      <c r="A234" t="s">
        <v>786</v>
      </c>
      <c r="B234" t="s">
        <v>787</v>
      </c>
      <c r="C234" s="1">
        <v>45286</v>
      </c>
      <c r="D234" t="s">
        <v>16</v>
      </c>
      <c r="E234" t="s">
        <v>55</v>
      </c>
      <c r="F234" t="s">
        <v>163</v>
      </c>
      <c r="G234" t="s">
        <v>214</v>
      </c>
      <c r="H234">
        <v>2</v>
      </c>
      <c r="I234">
        <v>280000</v>
      </c>
      <c r="J234" t="s">
        <v>108</v>
      </c>
      <c r="K234" t="s">
        <v>41</v>
      </c>
      <c r="L234">
        <v>55</v>
      </c>
      <c r="M234" t="s">
        <v>22</v>
      </c>
      <c r="N234" t="s">
        <v>788</v>
      </c>
    </row>
    <row r="235" spans="1:14" x14ac:dyDescent="0.35">
      <c r="A235" t="s">
        <v>789</v>
      </c>
      <c r="B235" t="s">
        <v>790</v>
      </c>
      <c r="C235" s="1">
        <v>45298</v>
      </c>
      <c r="D235" t="s">
        <v>16</v>
      </c>
      <c r="E235" t="s">
        <v>17</v>
      </c>
      <c r="F235" t="s">
        <v>39</v>
      </c>
      <c r="G235" t="s">
        <v>40</v>
      </c>
      <c r="H235">
        <v>1</v>
      </c>
      <c r="I235">
        <v>120000</v>
      </c>
      <c r="J235" t="s">
        <v>46</v>
      </c>
      <c r="K235" t="s">
        <v>21</v>
      </c>
      <c r="L235">
        <v>33</v>
      </c>
      <c r="M235" t="s">
        <v>30</v>
      </c>
      <c r="N235" t="s">
        <v>791</v>
      </c>
    </row>
    <row r="236" spans="1:14" x14ac:dyDescent="0.35">
      <c r="A236" t="s">
        <v>792</v>
      </c>
      <c r="B236" t="s">
        <v>793</v>
      </c>
      <c r="C236" s="1">
        <v>45535</v>
      </c>
      <c r="D236" t="s">
        <v>66</v>
      </c>
      <c r="E236" t="s">
        <v>55</v>
      </c>
      <c r="F236" t="s">
        <v>77</v>
      </c>
      <c r="G236" t="s">
        <v>383</v>
      </c>
      <c r="H236">
        <v>2</v>
      </c>
      <c r="I236">
        <v>120000</v>
      </c>
      <c r="J236" t="s">
        <v>28</v>
      </c>
      <c r="K236" t="s">
        <v>29</v>
      </c>
      <c r="L236">
        <v>32</v>
      </c>
      <c r="M236" t="s">
        <v>22</v>
      </c>
      <c r="N236" t="s">
        <v>794</v>
      </c>
    </row>
    <row r="237" spans="1:14" x14ac:dyDescent="0.35">
      <c r="A237" t="s">
        <v>795</v>
      </c>
      <c r="B237" t="s">
        <v>796</v>
      </c>
      <c r="C237" s="1">
        <v>45488</v>
      </c>
      <c r="D237" t="s">
        <v>66</v>
      </c>
      <c r="E237" t="s">
        <v>34</v>
      </c>
      <c r="F237" t="s">
        <v>77</v>
      </c>
      <c r="G237" t="s">
        <v>136</v>
      </c>
      <c r="H237">
        <v>1</v>
      </c>
      <c r="I237">
        <v>72000</v>
      </c>
      <c r="J237" t="s">
        <v>83</v>
      </c>
      <c r="K237" t="s">
        <v>21</v>
      </c>
      <c r="L237">
        <v>10</v>
      </c>
      <c r="M237" t="s">
        <v>30</v>
      </c>
      <c r="N237" t="s">
        <v>797</v>
      </c>
    </row>
    <row r="238" spans="1:14" x14ac:dyDescent="0.35">
      <c r="A238" t="s">
        <v>798</v>
      </c>
      <c r="B238" t="s">
        <v>799</v>
      </c>
      <c r="C238" s="1">
        <v>45562</v>
      </c>
      <c r="D238" t="s">
        <v>45</v>
      </c>
      <c r="E238" t="s">
        <v>34</v>
      </c>
      <c r="F238" t="s">
        <v>50</v>
      </c>
      <c r="G238" t="s">
        <v>73</v>
      </c>
      <c r="H238">
        <v>2</v>
      </c>
      <c r="I238">
        <v>252000</v>
      </c>
      <c r="J238" t="s">
        <v>28</v>
      </c>
      <c r="K238" t="s">
        <v>41</v>
      </c>
      <c r="L238">
        <v>14</v>
      </c>
      <c r="M238" t="s">
        <v>22</v>
      </c>
      <c r="N238" t="s">
        <v>800</v>
      </c>
    </row>
    <row r="239" spans="1:14" x14ac:dyDescent="0.35">
      <c r="A239" t="s">
        <v>801</v>
      </c>
      <c r="B239" t="s">
        <v>802</v>
      </c>
      <c r="C239" s="1">
        <v>45540</v>
      </c>
      <c r="D239" t="s">
        <v>66</v>
      </c>
      <c r="E239" t="s">
        <v>17</v>
      </c>
      <c r="F239" t="s">
        <v>252</v>
      </c>
      <c r="G239" t="s">
        <v>253</v>
      </c>
      <c r="H239">
        <v>4</v>
      </c>
      <c r="I239">
        <v>288000</v>
      </c>
      <c r="J239" t="s">
        <v>46</v>
      </c>
      <c r="K239" t="s">
        <v>21</v>
      </c>
      <c r="L239">
        <v>21</v>
      </c>
      <c r="M239" t="s">
        <v>22</v>
      </c>
      <c r="N239" t="s">
        <v>803</v>
      </c>
    </row>
    <row r="240" spans="1:14" x14ac:dyDescent="0.35">
      <c r="A240" t="s">
        <v>804</v>
      </c>
      <c r="B240" t="s">
        <v>805</v>
      </c>
      <c r="C240" s="1">
        <v>45412</v>
      </c>
      <c r="D240" t="s">
        <v>45</v>
      </c>
      <c r="E240" t="s">
        <v>55</v>
      </c>
      <c r="F240" t="s">
        <v>26</v>
      </c>
      <c r="G240" t="s">
        <v>27</v>
      </c>
      <c r="H240">
        <v>4</v>
      </c>
      <c r="I240">
        <v>432000</v>
      </c>
      <c r="J240" t="s">
        <v>20</v>
      </c>
      <c r="K240" t="s">
        <v>21</v>
      </c>
      <c r="L240">
        <v>57</v>
      </c>
      <c r="M240" t="s">
        <v>30</v>
      </c>
      <c r="N240" t="s">
        <v>806</v>
      </c>
    </row>
    <row r="241" spans="1:14" x14ac:dyDescent="0.35">
      <c r="A241" t="s">
        <v>807</v>
      </c>
      <c r="B241" t="s">
        <v>808</v>
      </c>
      <c r="C241" s="1">
        <v>45605</v>
      </c>
      <c r="D241" t="s">
        <v>16</v>
      </c>
      <c r="E241" t="s">
        <v>55</v>
      </c>
      <c r="F241" t="s">
        <v>50</v>
      </c>
      <c r="G241" t="s">
        <v>148</v>
      </c>
      <c r="H241">
        <v>2</v>
      </c>
      <c r="I241">
        <v>280000</v>
      </c>
      <c r="J241" t="s">
        <v>20</v>
      </c>
      <c r="K241" t="s">
        <v>41</v>
      </c>
      <c r="L241">
        <v>16</v>
      </c>
      <c r="M241" t="s">
        <v>22</v>
      </c>
      <c r="N241" t="s">
        <v>809</v>
      </c>
    </row>
    <row r="242" spans="1:14" x14ac:dyDescent="0.35">
      <c r="A242" t="s">
        <v>810</v>
      </c>
      <c r="B242" t="s">
        <v>811</v>
      </c>
      <c r="C242" s="1">
        <v>45053</v>
      </c>
      <c r="D242" t="s">
        <v>72</v>
      </c>
      <c r="E242" t="s">
        <v>17</v>
      </c>
      <c r="F242" t="s">
        <v>252</v>
      </c>
      <c r="G242" t="s">
        <v>504</v>
      </c>
      <c r="H242">
        <v>4</v>
      </c>
      <c r="I242">
        <v>252000</v>
      </c>
      <c r="J242" t="s">
        <v>108</v>
      </c>
      <c r="K242" t="s">
        <v>41</v>
      </c>
      <c r="L242">
        <v>10</v>
      </c>
      <c r="M242" t="s">
        <v>22</v>
      </c>
      <c r="N242" t="s">
        <v>812</v>
      </c>
    </row>
    <row r="243" spans="1:14" x14ac:dyDescent="0.35">
      <c r="A243" t="s">
        <v>813</v>
      </c>
      <c r="B243" t="s">
        <v>814</v>
      </c>
      <c r="C243" s="1">
        <v>45396</v>
      </c>
      <c r="D243" t="s">
        <v>66</v>
      </c>
      <c r="E243" t="s">
        <v>55</v>
      </c>
      <c r="F243" t="s">
        <v>252</v>
      </c>
      <c r="G243" t="s">
        <v>253</v>
      </c>
      <c r="H243">
        <v>5</v>
      </c>
      <c r="I243">
        <v>360000</v>
      </c>
      <c r="J243" t="s">
        <v>83</v>
      </c>
      <c r="K243" t="s">
        <v>21</v>
      </c>
      <c r="L243">
        <v>16</v>
      </c>
      <c r="M243" t="s">
        <v>30</v>
      </c>
      <c r="N243" t="s">
        <v>815</v>
      </c>
    </row>
    <row r="244" spans="1:14" x14ac:dyDescent="0.35">
      <c r="A244" t="s">
        <v>816</v>
      </c>
      <c r="B244" t="s">
        <v>817</v>
      </c>
      <c r="C244" s="1">
        <v>45604</v>
      </c>
      <c r="D244" t="s">
        <v>45</v>
      </c>
      <c r="E244" t="s">
        <v>17</v>
      </c>
      <c r="F244" t="s">
        <v>50</v>
      </c>
      <c r="G244" t="s">
        <v>107</v>
      </c>
      <c r="H244">
        <v>1</v>
      </c>
      <c r="I244">
        <v>90000</v>
      </c>
      <c r="J244" t="s">
        <v>28</v>
      </c>
      <c r="K244" t="s">
        <v>29</v>
      </c>
      <c r="L244">
        <v>15</v>
      </c>
      <c r="M244" t="s">
        <v>30</v>
      </c>
      <c r="N244" t="s">
        <v>818</v>
      </c>
    </row>
    <row r="245" spans="1:14" x14ac:dyDescent="0.35">
      <c r="A245" t="s">
        <v>819</v>
      </c>
      <c r="B245" t="s">
        <v>820</v>
      </c>
      <c r="C245" s="1">
        <v>45272</v>
      </c>
      <c r="D245" t="s">
        <v>16</v>
      </c>
      <c r="E245" t="s">
        <v>17</v>
      </c>
      <c r="F245" t="s">
        <v>77</v>
      </c>
      <c r="G245" t="s">
        <v>78</v>
      </c>
      <c r="H245">
        <v>4</v>
      </c>
      <c r="I245">
        <v>560000</v>
      </c>
      <c r="J245" t="s">
        <v>28</v>
      </c>
      <c r="K245" t="s">
        <v>41</v>
      </c>
      <c r="L245">
        <v>5</v>
      </c>
      <c r="M245" t="s">
        <v>22</v>
      </c>
      <c r="N245" t="s">
        <v>821</v>
      </c>
    </row>
    <row r="246" spans="1:14" x14ac:dyDescent="0.35">
      <c r="A246" t="s">
        <v>822</v>
      </c>
      <c r="B246" t="s">
        <v>823</v>
      </c>
      <c r="C246" s="1">
        <v>45623</v>
      </c>
      <c r="D246" t="s">
        <v>45</v>
      </c>
      <c r="E246" t="s">
        <v>34</v>
      </c>
      <c r="F246" t="s">
        <v>50</v>
      </c>
      <c r="G246" t="s">
        <v>73</v>
      </c>
      <c r="H246">
        <v>4</v>
      </c>
      <c r="I246">
        <v>504000</v>
      </c>
      <c r="J246" t="s">
        <v>108</v>
      </c>
      <c r="K246" t="s">
        <v>41</v>
      </c>
      <c r="L246">
        <v>15</v>
      </c>
      <c r="M246" t="s">
        <v>30</v>
      </c>
      <c r="N246" t="s">
        <v>824</v>
      </c>
    </row>
    <row r="247" spans="1:14" x14ac:dyDescent="0.35">
      <c r="A247" t="s">
        <v>825</v>
      </c>
      <c r="B247" t="s">
        <v>826</v>
      </c>
      <c r="C247" s="1">
        <v>45762</v>
      </c>
      <c r="D247" t="s">
        <v>72</v>
      </c>
      <c r="E247" t="s">
        <v>17</v>
      </c>
      <c r="F247" t="s">
        <v>56</v>
      </c>
      <c r="G247" t="s">
        <v>144</v>
      </c>
      <c r="H247">
        <v>1</v>
      </c>
      <c r="I247">
        <v>54000</v>
      </c>
      <c r="J247" t="s">
        <v>20</v>
      </c>
      <c r="K247" t="s">
        <v>21</v>
      </c>
      <c r="L247">
        <v>16</v>
      </c>
      <c r="M247" t="s">
        <v>30</v>
      </c>
      <c r="N247" t="s">
        <v>827</v>
      </c>
    </row>
    <row r="248" spans="1:14" x14ac:dyDescent="0.35">
      <c r="A248" t="s">
        <v>828</v>
      </c>
      <c r="B248" t="s">
        <v>829</v>
      </c>
      <c r="C248" s="1">
        <v>45065</v>
      </c>
      <c r="D248" t="s">
        <v>45</v>
      </c>
      <c r="E248" t="s">
        <v>34</v>
      </c>
      <c r="F248" t="s">
        <v>67</v>
      </c>
      <c r="G248" t="s">
        <v>112</v>
      </c>
      <c r="H248">
        <v>1</v>
      </c>
      <c r="I248">
        <v>90000</v>
      </c>
      <c r="J248" t="s">
        <v>46</v>
      </c>
      <c r="K248" t="s">
        <v>29</v>
      </c>
      <c r="L248">
        <v>34</v>
      </c>
      <c r="M248" t="s">
        <v>22</v>
      </c>
      <c r="N248" t="s">
        <v>830</v>
      </c>
    </row>
    <row r="249" spans="1:14" x14ac:dyDescent="0.35">
      <c r="A249" t="s">
        <v>831</v>
      </c>
      <c r="B249" t="s">
        <v>832</v>
      </c>
      <c r="C249" s="1">
        <v>45143</v>
      </c>
      <c r="D249" t="s">
        <v>66</v>
      </c>
      <c r="E249" t="s">
        <v>17</v>
      </c>
      <c r="F249" t="s">
        <v>67</v>
      </c>
      <c r="G249" t="s">
        <v>448</v>
      </c>
      <c r="H249">
        <v>1</v>
      </c>
      <c r="I249">
        <v>84000</v>
      </c>
      <c r="J249" t="s">
        <v>46</v>
      </c>
      <c r="K249" t="s">
        <v>41</v>
      </c>
      <c r="L249">
        <v>50</v>
      </c>
      <c r="M249" t="s">
        <v>30</v>
      </c>
      <c r="N249" t="s">
        <v>833</v>
      </c>
    </row>
    <row r="250" spans="1:14" x14ac:dyDescent="0.35">
      <c r="A250" t="s">
        <v>834</v>
      </c>
      <c r="B250" t="s">
        <v>835</v>
      </c>
      <c r="C250" s="1">
        <v>45373</v>
      </c>
      <c r="D250" t="s">
        <v>66</v>
      </c>
      <c r="E250" t="s">
        <v>55</v>
      </c>
      <c r="F250" t="s">
        <v>163</v>
      </c>
      <c r="G250" t="s">
        <v>214</v>
      </c>
      <c r="H250">
        <v>2</v>
      </c>
      <c r="I250">
        <v>144000</v>
      </c>
      <c r="J250" t="s">
        <v>28</v>
      </c>
      <c r="K250" t="s">
        <v>21</v>
      </c>
      <c r="L250">
        <v>29</v>
      </c>
      <c r="M250" t="s">
        <v>22</v>
      </c>
      <c r="N250" t="s">
        <v>836</v>
      </c>
    </row>
    <row r="251" spans="1:14" x14ac:dyDescent="0.35">
      <c r="A251" t="s">
        <v>837</v>
      </c>
      <c r="B251" t="s">
        <v>838</v>
      </c>
      <c r="C251" s="1">
        <v>45149</v>
      </c>
      <c r="D251" t="s">
        <v>72</v>
      </c>
      <c r="E251" t="s">
        <v>34</v>
      </c>
      <c r="F251" t="s">
        <v>61</v>
      </c>
      <c r="G251" t="s">
        <v>95</v>
      </c>
      <c r="H251">
        <v>1</v>
      </c>
      <c r="I251">
        <v>45000</v>
      </c>
      <c r="J251" t="s">
        <v>83</v>
      </c>
      <c r="K251" t="s">
        <v>29</v>
      </c>
      <c r="L251">
        <v>16</v>
      </c>
      <c r="M251" t="s">
        <v>30</v>
      </c>
      <c r="N251" t="s">
        <v>839</v>
      </c>
    </row>
    <row r="252" spans="1:14" x14ac:dyDescent="0.35">
      <c r="A252" t="s">
        <v>840</v>
      </c>
      <c r="B252" t="s">
        <v>841</v>
      </c>
      <c r="C252" s="1">
        <v>45295</v>
      </c>
      <c r="D252" t="s">
        <v>45</v>
      </c>
      <c r="E252" t="s">
        <v>34</v>
      </c>
      <c r="F252" t="s">
        <v>18</v>
      </c>
      <c r="G252" t="s">
        <v>297</v>
      </c>
      <c r="H252">
        <v>2</v>
      </c>
      <c r="I252">
        <v>252000</v>
      </c>
      <c r="J252" t="s">
        <v>28</v>
      </c>
      <c r="K252" t="s">
        <v>41</v>
      </c>
      <c r="L252">
        <v>14</v>
      </c>
      <c r="M252" t="s">
        <v>30</v>
      </c>
      <c r="N252" t="s">
        <v>842</v>
      </c>
    </row>
    <row r="253" spans="1:14" x14ac:dyDescent="0.35">
      <c r="A253" t="s">
        <v>843</v>
      </c>
      <c r="B253" t="s">
        <v>844</v>
      </c>
      <c r="C253" s="1">
        <v>45183</v>
      </c>
      <c r="D253" t="s">
        <v>66</v>
      </c>
      <c r="E253" t="s">
        <v>17</v>
      </c>
      <c r="F253" t="s">
        <v>67</v>
      </c>
      <c r="G253" t="s">
        <v>120</v>
      </c>
      <c r="H253">
        <v>1</v>
      </c>
      <c r="I253">
        <v>72000</v>
      </c>
      <c r="J253" t="s">
        <v>46</v>
      </c>
      <c r="K253" t="s">
        <v>21</v>
      </c>
      <c r="L253">
        <v>14</v>
      </c>
      <c r="M253" t="s">
        <v>30</v>
      </c>
      <c r="N253" t="s">
        <v>845</v>
      </c>
    </row>
    <row r="254" spans="1:14" x14ac:dyDescent="0.35">
      <c r="A254" t="s">
        <v>846</v>
      </c>
      <c r="B254" t="s">
        <v>847</v>
      </c>
      <c r="C254" s="1">
        <v>45408</v>
      </c>
      <c r="D254" t="s">
        <v>45</v>
      </c>
      <c r="E254" t="s">
        <v>34</v>
      </c>
      <c r="F254" t="s">
        <v>18</v>
      </c>
      <c r="G254" t="s">
        <v>181</v>
      </c>
      <c r="H254">
        <v>4</v>
      </c>
      <c r="I254">
        <v>432000</v>
      </c>
      <c r="J254" t="s">
        <v>20</v>
      </c>
      <c r="K254" t="s">
        <v>21</v>
      </c>
      <c r="L254">
        <v>17</v>
      </c>
      <c r="M254" t="s">
        <v>22</v>
      </c>
      <c r="N254" t="s">
        <v>848</v>
      </c>
    </row>
    <row r="255" spans="1:14" x14ac:dyDescent="0.35">
      <c r="A255" t="s">
        <v>849</v>
      </c>
      <c r="B255" t="s">
        <v>850</v>
      </c>
      <c r="C255" s="1">
        <v>45252</v>
      </c>
      <c r="D255" t="s">
        <v>16</v>
      </c>
      <c r="E255" t="s">
        <v>17</v>
      </c>
      <c r="F255" t="s">
        <v>67</v>
      </c>
      <c r="G255" t="s">
        <v>448</v>
      </c>
      <c r="H255">
        <v>5</v>
      </c>
      <c r="I255">
        <v>700000</v>
      </c>
      <c r="J255" t="s">
        <v>83</v>
      </c>
      <c r="K255" t="s">
        <v>41</v>
      </c>
      <c r="L255">
        <v>20</v>
      </c>
      <c r="M255" t="s">
        <v>30</v>
      </c>
      <c r="N255" t="s">
        <v>851</v>
      </c>
    </row>
    <row r="256" spans="1:14" x14ac:dyDescent="0.35">
      <c r="A256" t="s">
        <v>852</v>
      </c>
      <c r="B256" t="s">
        <v>853</v>
      </c>
      <c r="C256" s="1">
        <v>45567</v>
      </c>
      <c r="D256" t="s">
        <v>16</v>
      </c>
      <c r="E256" t="s">
        <v>34</v>
      </c>
      <c r="F256" t="s">
        <v>56</v>
      </c>
      <c r="G256" t="s">
        <v>116</v>
      </c>
      <c r="H256">
        <v>3</v>
      </c>
      <c r="I256">
        <v>300000</v>
      </c>
      <c r="J256" t="s">
        <v>28</v>
      </c>
      <c r="K256" t="s">
        <v>29</v>
      </c>
      <c r="L256">
        <v>35</v>
      </c>
      <c r="M256" t="s">
        <v>22</v>
      </c>
      <c r="N256" t="s">
        <v>854</v>
      </c>
    </row>
    <row r="257" spans="1:14" x14ac:dyDescent="0.35">
      <c r="A257" t="s">
        <v>855</v>
      </c>
      <c r="B257" t="s">
        <v>856</v>
      </c>
      <c r="C257" s="1">
        <v>45618</v>
      </c>
      <c r="D257" t="s">
        <v>66</v>
      </c>
      <c r="E257" t="s">
        <v>17</v>
      </c>
      <c r="F257" t="s">
        <v>77</v>
      </c>
      <c r="G257" t="s">
        <v>78</v>
      </c>
      <c r="H257">
        <v>4</v>
      </c>
      <c r="I257">
        <v>240000</v>
      </c>
      <c r="J257" t="s">
        <v>108</v>
      </c>
      <c r="K257" t="s">
        <v>29</v>
      </c>
      <c r="L257">
        <v>51</v>
      </c>
      <c r="M257" t="s">
        <v>22</v>
      </c>
      <c r="N257" t="s">
        <v>857</v>
      </c>
    </row>
    <row r="258" spans="1:14" x14ac:dyDescent="0.35">
      <c r="A258" t="s">
        <v>858</v>
      </c>
      <c r="B258" t="s">
        <v>859</v>
      </c>
      <c r="C258" s="1">
        <v>45059</v>
      </c>
      <c r="D258" t="s">
        <v>66</v>
      </c>
      <c r="E258" t="s">
        <v>17</v>
      </c>
      <c r="F258" t="s">
        <v>77</v>
      </c>
      <c r="G258" t="s">
        <v>91</v>
      </c>
      <c r="H258">
        <v>4</v>
      </c>
      <c r="I258">
        <v>240000</v>
      </c>
      <c r="J258" t="s">
        <v>20</v>
      </c>
      <c r="K258" t="s">
        <v>29</v>
      </c>
      <c r="L258">
        <v>52</v>
      </c>
      <c r="M258" t="s">
        <v>22</v>
      </c>
      <c r="N258" t="s">
        <v>860</v>
      </c>
    </row>
    <row r="259" spans="1:14" x14ac:dyDescent="0.35">
      <c r="A259" t="s">
        <v>861</v>
      </c>
      <c r="B259" t="s">
        <v>862</v>
      </c>
      <c r="C259" s="1">
        <v>45315</v>
      </c>
      <c r="D259" t="s">
        <v>16</v>
      </c>
      <c r="E259" t="s">
        <v>34</v>
      </c>
      <c r="F259" t="s">
        <v>18</v>
      </c>
      <c r="G259" t="s">
        <v>297</v>
      </c>
      <c r="H259">
        <v>2</v>
      </c>
      <c r="I259">
        <v>280000</v>
      </c>
      <c r="J259" t="s">
        <v>46</v>
      </c>
      <c r="K259" t="s">
        <v>41</v>
      </c>
      <c r="L259">
        <v>39</v>
      </c>
      <c r="M259" t="s">
        <v>30</v>
      </c>
      <c r="N259" t="s">
        <v>863</v>
      </c>
    </row>
    <row r="260" spans="1:14" x14ac:dyDescent="0.35">
      <c r="A260" t="s">
        <v>864</v>
      </c>
      <c r="B260" t="s">
        <v>865</v>
      </c>
      <c r="C260" s="1">
        <v>45662</v>
      </c>
      <c r="D260" t="s">
        <v>66</v>
      </c>
      <c r="E260" t="s">
        <v>34</v>
      </c>
      <c r="F260" t="s">
        <v>61</v>
      </c>
      <c r="G260" t="s">
        <v>95</v>
      </c>
      <c r="H260">
        <v>4</v>
      </c>
      <c r="I260">
        <v>240000</v>
      </c>
      <c r="J260" t="s">
        <v>28</v>
      </c>
      <c r="K260" t="s">
        <v>29</v>
      </c>
      <c r="L260">
        <v>57</v>
      </c>
      <c r="M260" t="s">
        <v>30</v>
      </c>
      <c r="N260" t="s">
        <v>866</v>
      </c>
    </row>
    <row r="261" spans="1:14" x14ac:dyDescent="0.35">
      <c r="A261" t="s">
        <v>867</v>
      </c>
      <c r="B261" t="s">
        <v>868</v>
      </c>
      <c r="C261" s="1">
        <v>45493</v>
      </c>
      <c r="D261" t="s">
        <v>16</v>
      </c>
      <c r="E261" t="s">
        <v>17</v>
      </c>
      <c r="F261" t="s">
        <v>67</v>
      </c>
      <c r="G261" t="s">
        <v>112</v>
      </c>
      <c r="H261">
        <v>3</v>
      </c>
      <c r="I261">
        <v>300000</v>
      </c>
      <c r="J261" t="s">
        <v>46</v>
      </c>
      <c r="K261" t="s">
        <v>29</v>
      </c>
      <c r="L261">
        <v>18</v>
      </c>
      <c r="M261" t="s">
        <v>30</v>
      </c>
      <c r="N261" t="s">
        <v>869</v>
      </c>
    </row>
    <row r="262" spans="1:14" x14ac:dyDescent="0.35">
      <c r="A262" t="s">
        <v>870</v>
      </c>
      <c r="B262" t="s">
        <v>871</v>
      </c>
      <c r="C262" s="1">
        <v>45466</v>
      </c>
      <c r="D262" t="s">
        <v>45</v>
      </c>
      <c r="E262" t="s">
        <v>55</v>
      </c>
      <c r="F262" t="s">
        <v>252</v>
      </c>
      <c r="G262" t="s">
        <v>504</v>
      </c>
      <c r="H262">
        <v>3</v>
      </c>
      <c r="I262">
        <v>324000</v>
      </c>
      <c r="J262" t="s">
        <v>108</v>
      </c>
      <c r="K262" t="s">
        <v>21</v>
      </c>
      <c r="L262">
        <v>42</v>
      </c>
      <c r="M262" t="s">
        <v>30</v>
      </c>
      <c r="N262" t="s">
        <v>872</v>
      </c>
    </row>
    <row r="263" spans="1:14" x14ac:dyDescent="0.35">
      <c r="A263" t="s">
        <v>873</v>
      </c>
      <c r="B263" t="s">
        <v>874</v>
      </c>
      <c r="C263" s="1">
        <v>45265</v>
      </c>
      <c r="D263" t="s">
        <v>16</v>
      </c>
      <c r="E263" t="s">
        <v>55</v>
      </c>
      <c r="F263" t="s">
        <v>18</v>
      </c>
      <c r="G263" t="s">
        <v>452</v>
      </c>
      <c r="H263">
        <v>2</v>
      </c>
      <c r="I263">
        <v>280000</v>
      </c>
      <c r="J263" t="s">
        <v>46</v>
      </c>
      <c r="K263" t="s">
        <v>41</v>
      </c>
      <c r="L263">
        <v>6</v>
      </c>
      <c r="M263" t="s">
        <v>30</v>
      </c>
      <c r="N263" t="s">
        <v>875</v>
      </c>
    </row>
    <row r="264" spans="1:14" x14ac:dyDescent="0.35">
      <c r="A264" t="s">
        <v>876</v>
      </c>
      <c r="B264" t="s">
        <v>877</v>
      </c>
      <c r="C264" s="1">
        <v>45631</v>
      </c>
      <c r="D264" t="s">
        <v>16</v>
      </c>
      <c r="E264" t="s">
        <v>17</v>
      </c>
      <c r="F264" t="s">
        <v>56</v>
      </c>
      <c r="G264" t="s">
        <v>152</v>
      </c>
      <c r="H264">
        <v>3</v>
      </c>
      <c r="I264">
        <v>300000</v>
      </c>
      <c r="J264" t="s">
        <v>28</v>
      </c>
      <c r="K264" t="s">
        <v>29</v>
      </c>
      <c r="L264">
        <v>29</v>
      </c>
      <c r="M264" t="s">
        <v>22</v>
      </c>
      <c r="N264" t="s">
        <v>878</v>
      </c>
    </row>
    <row r="265" spans="1:14" x14ac:dyDescent="0.35">
      <c r="A265" t="s">
        <v>879</v>
      </c>
      <c r="B265" t="s">
        <v>880</v>
      </c>
      <c r="C265" s="1">
        <v>45490</v>
      </c>
      <c r="D265" t="s">
        <v>45</v>
      </c>
      <c r="E265" t="s">
        <v>17</v>
      </c>
      <c r="F265" t="s">
        <v>67</v>
      </c>
      <c r="G265" t="s">
        <v>112</v>
      </c>
      <c r="H265">
        <v>2</v>
      </c>
      <c r="I265">
        <v>252000</v>
      </c>
      <c r="J265" t="s">
        <v>83</v>
      </c>
      <c r="K265" t="s">
        <v>41</v>
      </c>
      <c r="L265">
        <v>38</v>
      </c>
      <c r="M265" t="s">
        <v>30</v>
      </c>
      <c r="N265" t="s">
        <v>881</v>
      </c>
    </row>
    <row r="266" spans="1:14" x14ac:dyDescent="0.35">
      <c r="A266" t="s">
        <v>882</v>
      </c>
      <c r="B266" t="s">
        <v>883</v>
      </c>
      <c r="C266" s="1">
        <v>45686</v>
      </c>
      <c r="D266" t="s">
        <v>16</v>
      </c>
      <c r="E266" t="s">
        <v>34</v>
      </c>
      <c r="F266" t="s">
        <v>252</v>
      </c>
      <c r="G266" t="s">
        <v>307</v>
      </c>
      <c r="H266">
        <v>1</v>
      </c>
      <c r="I266">
        <v>100000</v>
      </c>
      <c r="J266" t="s">
        <v>20</v>
      </c>
      <c r="K266" t="s">
        <v>29</v>
      </c>
      <c r="L266">
        <v>46</v>
      </c>
      <c r="M266" t="s">
        <v>30</v>
      </c>
      <c r="N266" t="s">
        <v>884</v>
      </c>
    </row>
    <row r="267" spans="1:14" x14ac:dyDescent="0.35">
      <c r="A267" t="s">
        <v>885</v>
      </c>
      <c r="B267" t="s">
        <v>886</v>
      </c>
      <c r="C267" s="1">
        <v>45684</v>
      </c>
      <c r="D267" t="s">
        <v>66</v>
      </c>
      <c r="E267" t="s">
        <v>17</v>
      </c>
      <c r="F267" t="s">
        <v>77</v>
      </c>
      <c r="G267" t="s">
        <v>136</v>
      </c>
      <c r="H267">
        <v>1</v>
      </c>
      <c r="I267">
        <v>84000</v>
      </c>
      <c r="J267" t="s">
        <v>20</v>
      </c>
      <c r="K267" t="s">
        <v>41</v>
      </c>
      <c r="L267">
        <v>17</v>
      </c>
      <c r="M267" t="s">
        <v>22</v>
      </c>
      <c r="N267" t="s">
        <v>887</v>
      </c>
    </row>
    <row r="268" spans="1:14" x14ac:dyDescent="0.35">
      <c r="A268" t="s">
        <v>888</v>
      </c>
      <c r="B268" t="s">
        <v>889</v>
      </c>
      <c r="C268" s="1">
        <v>45114</v>
      </c>
      <c r="D268" t="s">
        <v>66</v>
      </c>
      <c r="E268" t="s">
        <v>34</v>
      </c>
      <c r="F268" t="s">
        <v>50</v>
      </c>
      <c r="G268" t="s">
        <v>51</v>
      </c>
      <c r="H268">
        <v>3</v>
      </c>
      <c r="I268">
        <v>216000</v>
      </c>
      <c r="J268" t="s">
        <v>20</v>
      </c>
      <c r="K268" t="s">
        <v>21</v>
      </c>
      <c r="L268">
        <v>53</v>
      </c>
      <c r="M268" t="s">
        <v>22</v>
      </c>
      <c r="N268" t="s">
        <v>890</v>
      </c>
    </row>
    <row r="269" spans="1:14" x14ac:dyDescent="0.35">
      <c r="A269" t="s">
        <v>891</v>
      </c>
      <c r="B269" t="s">
        <v>892</v>
      </c>
      <c r="C269" s="1">
        <v>45124</v>
      </c>
      <c r="D269" t="s">
        <v>16</v>
      </c>
      <c r="E269" t="s">
        <v>17</v>
      </c>
      <c r="F269" t="s">
        <v>77</v>
      </c>
      <c r="G269" t="s">
        <v>78</v>
      </c>
      <c r="H269">
        <v>1</v>
      </c>
      <c r="I269">
        <v>140000</v>
      </c>
      <c r="J269" t="s">
        <v>46</v>
      </c>
      <c r="K269" t="s">
        <v>41</v>
      </c>
      <c r="L269">
        <v>6</v>
      </c>
      <c r="M269" t="s">
        <v>22</v>
      </c>
      <c r="N269" t="s">
        <v>893</v>
      </c>
    </row>
    <row r="270" spans="1:14" x14ac:dyDescent="0.35">
      <c r="A270" t="s">
        <v>894</v>
      </c>
      <c r="B270" t="s">
        <v>895</v>
      </c>
      <c r="C270" s="1">
        <v>45501</v>
      </c>
      <c r="D270" t="s">
        <v>16</v>
      </c>
      <c r="E270" t="s">
        <v>17</v>
      </c>
      <c r="F270" t="s">
        <v>50</v>
      </c>
      <c r="G270" t="s">
        <v>51</v>
      </c>
      <c r="H270">
        <v>3</v>
      </c>
      <c r="I270">
        <v>300000</v>
      </c>
      <c r="J270" t="s">
        <v>46</v>
      </c>
      <c r="K270" t="s">
        <v>29</v>
      </c>
      <c r="L270">
        <v>38</v>
      </c>
      <c r="M270" t="s">
        <v>30</v>
      </c>
      <c r="N270" t="s">
        <v>896</v>
      </c>
    </row>
    <row r="271" spans="1:14" x14ac:dyDescent="0.35">
      <c r="A271" t="s">
        <v>897</v>
      </c>
      <c r="B271" t="s">
        <v>898</v>
      </c>
      <c r="C271" s="1">
        <v>45637</v>
      </c>
      <c r="D271" t="s">
        <v>66</v>
      </c>
      <c r="E271" t="s">
        <v>17</v>
      </c>
      <c r="F271" t="s">
        <v>26</v>
      </c>
      <c r="G271" t="s">
        <v>27</v>
      </c>
      <c r="H271">
        <v>1</v>
      </c>
      <c r="I271">
        <v>72000</v>
      </c>
      <c r="J271" t="s">
        <v>83</v>
      </c>
      <c r="K271" t="s">
        <v>21</v>
      </c>
      <c r="L271">
        <v>9</v>
      </c>
      <c r="M271" t="s">
        <v>22</v>
      </c>
      <c r="N271" t="s">
        <v>899</v>
      </c>
    </row>
    <row r="272" spans="1:14" x14ac:dyDescent="0.35">
      <c r="A272" t="s">
        <v>900</v>
      </c>
      <c r="B272" t="s">
        <v>901</v>
      </c>
      <c r="C272" s="1">
        <v>45626</v>
      </c>
      <c r="D272" t="s">
        <v>72</v>
      </c>
      <c r="E272" t="s">
        <v>55</v>
      </c>
      <c r="F272" t="s">
        <v>39</v>
      </c>
      <c r="G272" t="s">
        <v>40</v>
      </c>
      <c r="H272">
        <v>5</v>
      </c>
      <c r="I272">
        <v>225000</v>
      </c>
      <c r="J272" t="s">
        <v>108</v>
      </c>
      <c r="K272" t="s">
        <v>29</v>
      </c>
      <c r="L272">
        <v>36</v>
      </c>
      <c r="M272" t="s">
        <v>30</v>
      </c>
      <c r="N272" t="s">
        <v>902</v>
      </c>
    </row>
    <row r="273" spans="1:14" x14ac:dyDescent="0.35">
      <c r="A273" t="s">
        <v>903</v>
      </c>
      <c r="B273" t="s">
        <v>904</v>
      </c>
      <c r="C273" s="1">
        <v>45386</v>
      </c>
      <c r="D273" t="s">
        <v>72</v>
      </c>
      <c r="E273" t="s">
        <v>17</v>
      </c>
      <c r="F273" t="s">
        <v>56</v>
      </c>
      <c r="G273" t="s">
        <v>508</v>
      </c>
      <c r="H273">
        <v>4</v>
      </c>
      <c r="I273">
        <v>252000</v>
      </c>
      <c r="J273" t="s">
        <v>46</v>
      </c>
      <c r="K273" t="s">
        <v>41</v>
      </c>
      <c r="L273">
        <v>38</v>
      </c>
      <c r="M273" t="s">
        <v>30</v>
      </c>
      <c r="N273" t="s">
        <v>905</v>
      </c>
    </row>
    <row r="274" spans="1:14" x14ac:dyDescent="0.35">
      <c r="A274" t="s">
        <v>906</v>
      </c>
      <c r="B274" t="s">
        <v>907</v>
      </c>
      <c r="C274" s="1">
        <v>45426</v>
      </c>
      <c r="D274" t="s">
        <v>72</v>
      </c>
      <c r="E274" t="s">
        <v>34</v>
      </c>
      <c r="F274" t="s">
        <v>67</v>
      </c>
      <c r="G274" t="s">
        <v>448</v>
      </c>
      <c r="H274">
        <v>3</v>
      </c>
      <c r="I274">
        <v>189000</v>
      </c>
      <c r="J274" t="s">
        <v>83</v>
      </c>
      <c r="K274" t="s">
        <v>41</v>
      </c>
      <c r="L274">
        <v>12</v>
      </c>
      <c r="M274" t="s">
        <v>22</v>
      </c>
      <c r="N274" t="s">
        <v>908</v>
      </c>
    </row>
    <row r="275" spans="1:14" x14ac:dyDescent="0.35">
      <c r="A275" t="s">
        <v>909</v>
      </c>
      <c r="B275" t="s">
        <v>910</v>
      </c>
      <c r="C275" s="1">
        <v>45258</v>
      </c>
      <c r="D275" t="s">
        <v>66</v>
      </c>
      <c r="E275" t="s">
        <v>34</v>
      </c>
      <c r="F275" t="s">
        <v>26</v>
      </c>
      <c r="G275" t="s">
        <v>27</v>
      </c>
      <c r="H275">
        <v>4</v>
      </c>
      <c r="I275">
        <v>336000</v>
      </c>
      <c r="J275" t="s">
        <v>83</v>
      </c>
      <c r="K275" t="s">
        <v>41</v>
      </c>
      <c r="L275">
        <v>42</v>
      </c>
      <c r="M275" t="s">
        <v>30</v>
      </c>
      <c r="N275" t="s">
        <v>911</v>
      </c>
    </row>
    <row r="276" spans="1:14" x14ac:dyDescent="0.35">
      <c r="A276" t="s">
        <v>912</v>
      </c>
      <c r="B276" t="s">
        <v>913</v>
      </c>
      <c r="C276" s="1">
        <v>45071</v>
      </c>
      <c r="D276" t="s">
        <v>66</v>
      </c>
      <c r="E276" t="s">
        <v>55</v>
      </c>
      <c r="F276" t="s">
        <v>39</v>
      </c>
      <c r="G276" t="s">
        <v>393</v>
      </c>
      <c r="H276">
        <v>2</v>
      </c>
      <c r="I276">
        <v>144000</v>
      </c>
      <c r="J276" t="s">
        <v>83</v>
      </c>
      <c r="K276" t="s">
        <v>21</v>
      </c>
      <c r="L276">
        <v>39</v>
      </c>
      <c r="M276" t="s">
        <v>22</v>
      </c>
      <c r="N276" t="s">
        <v>914</v>
      </c>
    </row>
    <row r="277" spans="1:14" x14ac:dyDescent="0.35">
      <c r="A277" t="s">
        <v>915</v>
      </c>
      <c r="B277" t="s">
        <v>916</v>
      </c>
      <c r="C277" s="1">
        <v>45622</v>
      </c>
      <c r="D277" t="s">
        <v>45</v>
      </c>
      <c r="E277" t="s">
        <v>55</v>
      </c>
      <c r="F277" t="s">
        <v>252</v>
      </c>
      <c r="G277" t="s">
        <v>257</v>
      </c>
      <c r="H277">
        <v>3</v>
      </c>
      <c r="I277">
        <v>378000</v>
      </c>
      <c r="J277" t="s">
        <v>46</v>
      </c>
      <c r="K277" t="s">
        <v>41</v>
      </c>
      <c r="L277">
        <v>36</v>
      </c>
      <c r="M277" t="s">
        <v>22</v>
      </c>
      <c r="N277" t="s">
        <v>917</v>
      </c>
    </row>
    <row r="278" spans="1:14" x14ac:dyDescent="0.35">
      <c r="A278" t="s">
        <v>918</v>
      </c>
      <c r="B278" t="s">
        <v>919</v>
      </c>
      <c r="C278" s="1">
        <v>45069</v>
      </c>
      <c r="D278" t="s">
        <v>72</v>
      </c>
      <c r="E278" t="s">
        <v>17</v>
      </c>
      <c r="F278" t="s">
        <v>50</v>
      </c>
      <c r="G278" t="s">
        <v>73</v>
      </c>
      <c r="H278">
        <v>4</v>
      </c>
      <c r="I278">
        <v>252000</v>
      </c>
      <c r="J278" t="s">
        <v>20</v>
      </c>
      <c r="K278" t="s">
        <v>41</v>
      </c>
      <c r="L278">
        <v>16</v>
      </c>
      <c r="M278" t="s">
        <v>22</v>
      </c>
      <c r="N278" t="s">
        <v>920</v>
      </c>
    </row>
    <row r="279" spans="1:14" x14ac:dyDescent="0.35">
      <c r="A279" t="s">
        <v>921</v>
      </c>
      <c r="B279" t="s">
        <v>922</v>
      </c>
      <c r="C279" s="1">
        <v>45126</v>
      </c>
      <c r="D279" t="s">
        <v>72</v>
      </c>
      <c r="E279" t="s">
        <v>34</v>
      </c>
      <c r="F279" t="s">
        <v>163</v>
      </c>
      <c r="G279" t="s">
        <v>214</v>
      </c>
      <c r="H279">
        <v>1</v>
      </c>
      <c r="I279">
        <v>63000</v>
      </c>
      <c r="J279" t="s">
        <v>83</v>
      </c>
      <c r="K279" t="s">
        <v>41</v>
      </c>
      <c r="L279">
        <v>9</v>
      </c>
      <c r="M279" t="s">
        <v>22</v>
      </c>
      <c r="N279" t="s">
        <v>923</v>
      </c>
    </row>
    <row r="280" spans="1:14" x14ac:dyDescent="0.35">
      <c r="A280" t="s">
        <v>924</v>
      </c>
      <c r="B280" t="s">
        <v>925</v>
      </c>
      <c r="C280" s="1">
        <v>45733</v>
      </c>
      <c r="D280" t="s">
        <v>16</v>
      </c>
      <c r="E280" t="s">
        <v>55</v>
      </c>
      <c r="F280" t="s">
        <v>18</v>
      </c>
      <c r="G280" t="s">
        <v>19</v>
      </c>
      <c r="H280">
        <v>3</v>
      </c>
      <c r="I280">
        <v>360000</v>
      </c>
      <c r="J280" t="s">
        <v>28</v>
      </c>
      <c r="K280" t="s">
        <v>21</v>
      </c>
      <c r="L280">
        <v>35</v>
      </c>
      <c r="M280" t="s">
        <v>30</v>
      </c>
      <c r="N280" t="s">
        <v>926</v>
      </c>
    </row>
    <row r="281" spans="1:14" x14ac:dyDescent="0.35">
      <c r="A281" t="s">
        <v>927</v>
      </c>
      <c r="B281" t="s">
        <v>928</v>
      </c>
      <c r="C281" s="1">
        <v>45437</v>
      </c>
      <c r="D281" t="s">
        <v>45</v>
      </c>
      <c r="E281" t="s">
        <v>55</v>
      </c>
      <c r="F281" t="s">
        <v>67</v>
      </c>
      <c r="G281" t="s">
        <v>112</v>
      </c>
      <c r="H281">
        <v>3</v>
      </c>
      <c r="I281">
        <v>324000</v>
      </c>
      <c r="J281" t="s">
        <v>28</v>
      </c>
      <c r="K281" t="s">
        <v>21</v>
      </c>
      <c r="L281">
        <v>48</v>
      </c>
      <c r="M281" t="s">
        <v>30</v>
      </c>
      <c r="N281" t="s">
        <v>929</v>
      </c>
    </row>
    <row r="282" spans="1:14" x14ac:dyDescent="0.35">
      <c r="A282" t="s">
        <v>930</v>
      </c>
      <c r="B282" t="s">
        <v>931</v>
      </c>
      <c r="C282" s="1">
        <v>45300</v>
      </c>
      <c r="D282" t="s">
        <v>16</v>
      </c>
      <c r="E282" t="s">
        <v>55</v>
      </c>
      <c r="F282" t="s">
        <v>18</v>
      </c>
      <c r="G282" t="s">
        <v>103</v>
      </c>
      <c r="H282">
        <v>2</v>
      </c>
      <c r="I282">
        <v>200000</v>
      </c>
      <c r="J282" t="s">
        <v>28</v>
      </c>
      <c r="K282" t="s">
        <v>29</v>
      </c>
      <c r="L282">
        <v>11</v>
      </c>
      <c r="M282" t="s">
        <v>22</v>
      </c>
      <c r="N282" t="s">
        <v>932</v>
      </c>
    </row>
    <row r="283" spans="1:14" x14ac:dyDescent="0.35">
      <c r="A283" t="s">
        <v>933</v>
      </c>
      <c r="B283" t="s">
        <v>934</v>
      </c>
      <c r="C283" s="1">
        <v>45384</v>
      </c>
      <c r="D283" t="s">
        <v>66</v>
      </c>
      <c r="E283" t="s">
        <v>17</v>
      </c>
      <c r="F283" t="s">
        <v>56</v>
      </c>
      <c r="G283" t="s">
        <v>508</v>
      </c>
      <c r="H283">
        <v>3</v>
      </c>
      <c r="I283">
        <v>216000</v>
      </c>
      <c r="J283" t="s">
        <v>20</v>
      </c>
      <c r="K283" t="s">
        <v>21</v>
      </c>
      <c r="L283">
        <v>36</v>
      </c>
      <c r="M283" t="s">
        <v>22</v>
      </c>
      <c r="N283" t="s">
        <v>935</v>
      </c>
    </row>
    <row r="284" spans="1:14" x14ac:dyDescent="0.35">
      <c r="A284" t="s">
        <v>936</v>
      </c>
      <c r="B284" t="s">
        <v>937</v>
      </c>
      <c r="C284" s="1">
        <v>45552</v>
      </c>
      <c r="D284" t="s">
        <v>45</v>
      </c>
      <c r="E284" t="s">
        <v>34</v>
      </c>
      <c r="F284" t="s">
        <v>18</v>
      </c>
      <c r="G284" t="s">
        <v>181</v>
      </c>
      <c r="H284">
        <v>4</v>
      </c>
      <c r="I284">
        <v>504000</v>
      </c>
      <c r="J284" t="s">
        <v>20</v>
      </c>
      <c r="K284" t="s">
        <v>41</v>
      </c>
      <c r="L284">
        <v>21</v>
      </c>
      <c r="M284" t="s">
        <v>30</v>
      </c>
      <c r="N284" t="s">
        <v>938</v>
      </c>
    </row>
    <row r="285" spans="1:14" x14ac:dyDescent="0.35">
      <c r="A285" t="s">
        <v>939</v>
      </c>
      <c r="B285" t="s">
        <v>940</v>
      </c>
      <c r="C285" s="1">
        <v>45219</v>
      </c>
      <c r="D285" t="s">
        <v>66</v>
      </c>
      <c r="E285" t="s">
        <v>55</v>
      </c>
      <c r="F285" t="s">
        <v>50</v>
      </c>
      <c r="G285" t="s">
        <v>132</v>
      </c>
      <c r="H285">
        <v>3</v>
      </c>
      <c r="I285">
        <v>180000</v>
      </c>
      <c r="J285" t="s">
        <v>20</v>
      </c>
      <c r="K285" t="s">
        <v>29</v>
      </c>
      <c r="L285">
        <v>46</v>
      </c>
      <c r="M285" t="s">
        <v>22</v>
      </c>
      <c r="N285" t="s">
        <v>941</v>
      </c>
    </row>
    <row r="286" spans="1:14" x14ac:dyDescent="0.35">
      <c r="A286" t="s">
        <v>942</v>
      </c>
      <c r="B286" t="s">
        <v>943</v>
      </c>
      <c r="C286" s="1">
        <v>45365</v>
      </c>
      <c r="D286" t="s">
        <v>16</v>
      </c>
      <c r="E286" t="s">
        <v>55</v>
      </c>
      <c r="F286" t="s">
        <v>50</v>
      </c>
      <c r="G286" t="s">
        <v>107</v>
      </c>
      <c r="H286">
        <v>4</v>
      </c>
      <c r="I286">
        <v>480000</v>
      </c>
      <c r="J286" t="s">
        <v>83</v>
      </c>
      <c r="K286" t="s">
        <v>21</v>
      </c>
      <c r="L286">
        <v>9</v>
      </c>
      <c r="M286" t="s">
        <v>22</v>
      </c>
      <c r="N286" t="s">
        <v>944</v>
      </c>
    </row>
    <row r="287" spans="1:14" x14ac:dyDescent="0.35">
      <c r="A287" t="s">
        <v>945</v>
      </c>
      <c r="B287" t="s">
        <v>946</v>
      </c>
      <c r="C287" s="1">
        <v>45517</v>
      </c>
      <c r="D287" t="s">
        <v>66</v>
      </c>
      <c r="E287" t="s">
        <v>55</v>
      </c>
      <c r="F287" t="s">
        <v>61</v>
      </c>
      <c r="G287" t="s">
        <v>99</v>
      </c>
      <c r="H287">
        <v>4</v>
      </c>
      <c r="I287">
        <v>336000</v>
      </c>
      <c r="J287" t="s">
        <v>108</v>
      </c>
      <c r="K287" t="s">
        <v>41</v>
      </c>
      <c r="L287">
        <v>27</v>
      </c>
      <c r="M287" t="s">
        <v>22</v>
      </c>
      <c r="N287" t="s">
        <v>947</v>
      </c>
    </row>
    <row r="288" spans="1:14" x14ac:dyDescent="0.35">
      <c r="A288" t="s">
        <v>948</v>
      </c>
      <c r="B288" t="s">
        <v>949</v>
      </c>
      <c r="C288" s="1">
        <v>45419</v>
      </c>
      <c r="D288" t="s">
        <v>72</v>
      </c>
      <c r="E288" t="s">
        <v>34</v>
      </c>
      <c r="F288" t="s">
        <v>77</v>
      </c>
      <c r="G288" t="s">
        <v>78</v>
      </c>
      <c r="H288">
        <v>1</v>
      </c>
      <c r="I288">
        <v>45000</v>
      </c>
      <c r="J288" t="s">
        <v>20</v>
      </c>
      <c r="K288" t="s">
        <v>29</v>
      </c>
      <c r="L288">
        <v>59</v>
      </c>
      <c r="M288" t="s">
        <v>30</v>
      </c>
      <c r="N288" t="s">
        <v>950</v>
      </c>
    </row>
    <row r="289" spans="1:14" x14ac:dyDescent="0.35">
      <c r="A289" t="s">
        <v>951</v>
      </c>
      <c r="B289" t="s">
        <v>952</v>
      </c>
      <c r="C289" s="1">
        <v>45702</v>
      </c>
      <c r="D289" t="s">
        <v>16</v>
      </c>
      <c r="E289" t="s">
        <v>17</v>
      </c>
      <c r="F289" t="s">
        <v>50</v>
      </c>
      <c r="G289" t="s">
        <v>148</v>
      </c>
      <c r="H289">
        <v>3</v>
      </c>
      <c r="I289">
        <v>300000</v>
      </c>
      <c r="J289" t="s">
        <v>108</v>
      </c>
      <c r="K289" t="s">
        <v>29</v>
      </c>
      <c r="L289">
        <v>26</v>
      </c>
      <c r="M289" t="s">
        <v>30</v>
      </c>
      <c r="N289" t="s">
        <v>953</v>
      </c>
    </row>
    <row r="290" spans="1:14" x14ac:dyDescent="0.35">
      <c r="A290" t="s">
        <v>954</v>
      </c>
      <c r="B290" t="s">
        <v>955</v>
      </c>
      <c r="C290" s="1">
        <v>45235</v>
      </c>
      <c r="D290" t="s">
        <v>45</v>
      </c>
      <c r="E290" t="s">
        <v>34</v>
      </c>
      <c r="F290" t="s">
        <v>163</v>
      </c>
      <c r="G290" t="s">
        <v>282</v>
      </c>
      <c r="H290">
        <v>5</v>
      </c>
      <c r="I290">
        <v>540000</v>
      </c>
      <c r="J290" t="s">
        <v>28</v>
      </c>
      <c r="K290" t="s">
        <v>21</v>
      </c>
      <c r="L290">
        <v>10</v>
      </c>
      <c r="M290" t="s">
        <v>30</v>
      </c>
      <c r="N290" t="s">
        <v>690</v>
      </c>
    </row>
    <row r="291" spans="1:14" x14ac:dyDescent="0.35">
      <c r="A291" t="s">
        <v>956</v>
      </c>
      <c r="B291" t="s">
        <v>957</v>
      </c>
      <c r="C291" s="1">
        <v>45381</v>
      </c>
      <c r="D291" t="s">
        <v>66</v>
      </c>
      <c r="E291" t="s">
        <v>55</v>
      </c>
      <c r="F291" t="s">
        <v>50</v>
      </c>
      <c r="G291" t="s">
        <v>107</v>
      </c>
      <c r="H291">
        <v>5</v>
      </c>
      <c r="I291">
        <v>300000</v>
      </c>
      <c r="J291" t="s">
        <v>108</v>
      </c>
      <c r="K291" t="s">
        <v>29</v>
      </c>
      <c r="L291">
        <v>58</v>
      </c>
      <c r="M291" t="s">
        <v>30</v>
      </c>
      <c r="N291" t="s">
        <v>958</v>
      </c>
    </row>
    <row r="292" spans="1:14" x14ac:dyDescent="0.35">
      <c r="A292" t="s">
        <v>959</v>
      </c>
      <c r="B292" t="s">
        <v>960</v>
      </c>
      <c r="C292" s="1">
        <v>45291</v>
      </c>
      <c r="D292" t="s">
        <v>45</v>
      </c>
      <c r="E292" t="s">
        <v>55</v>
      </c>
      <c r="F292" t="s">
        <v>77</v>
      </c>
      <c r="G292" t="s">
        <v>383</v>
      </c>
      <c r="H292">
        <v>1</v>
      </c>
      <c r="I292">
        <v>126000</v>
      </c>
      <c r="J292" t="s">
        <v>46</v>
      </c>
      <c r="K292" t="s">
        <v>41</v>
      </c>
      <c r="L292">
        <v>28</v>
      </c>
      <c r="M292" t="s">
        <v>22</v>
      </c>
      <c r="N292" t="s">
        <v>961</v>
      </c>
    </row>
    <row r="293" spans="1:14" x14ac:dyDescent="0.35">
      <c r="A293" t="s">
        <v>962</v>
      </c>
      <c r="B293" t="s">
        <v>963</v>
      </c>
      <c r="C293" s="1">
        <v>45252</v>
      </c>
      <c r="D293" t="s">
        <v>16</v>
      </c>
      <c r="E293" t="s">
        <v>55</v>
      </c>
      <c r="F293" t="s">
        <v>252</v>
      </c>
      <c r="G293" t="s">
        <v>253</v>
      </c>
      <c r="H293">
        <v>1</v>
      </c>
      <c r="I293">
        <v>120000</v>
      </c>
      <c r="J293" t="s">
        <v>28</v>
      </c>
      <c r="K293" t="s">
        <v>21</v>
      </c>
      <c r="L293">
        <v>40</v>
      </c>
      <c r="M293" t="s">
        <v>30</v>
      </c>
      <c r="N293" t="s">
        <v>304</v>
      </c>
    </row>
    <row r="294" spans="1:14" x14ac:dyDescent="0.35">
      <c r="A294" t="s">
        <v>964</v>
      </c>
      <c r="B294" t="s">
        <v>965</v>
      </c>
      <c r="C294" s="1">
        <v>45288</v>
      </c>
      <c r="D294" t="s">
        <v>16</v>
      </c>
      <c r="E294" t="s">
        <v>34</v>
      </c>
      <c r="F294" t="s">
        <v>61</v>
      </c>
      <c r="G294" t="s">
        <v>290</v>
      </c>
      <c r="H294">
        <v>1</v>
      </c>
      <c r="I294">
        <v>100000</v>
      </c>
      <c r="J294" t="s">
        <v>28</v>
      </c>
      <c r="K294" t="s">
        <v>29</v>
      </c>
      <c r="L294">
        <v>23</v>
      </c>
      <c r="M294" t="s">
        <v>22</v>
      </c>
      <c r="N294" t="s">
        <v>966</v>
      </c>
    </row>
    <row r="295" spans="1:14" x14ac:dyDescent="0.35">
      <c r="A295" t="s">
        <v>967</v>
      </c>
      <c r="B295" t="s">
        <v>968</v>
      </c>
      <c r="C295" s="1">
        <v>45659</v>
      </c>
      <c r="D295" t="s">
        <v>16</v>
      </c>
      <c r="E295" t="s">
        <v>55</v>
      </c>
      <c r="F295" t="s">
        <v>18</v>
      </c>
      <c r="G295" t="s">
        <v>103</v>
      </c>
      <c r="H295">
        <v>1</v>
      </c>
      <c r="I295">
        <v>120000</v>
      </c>
      <c r="J295" t="s">
        <v>46</v>
      </c>
      <c r="K295" t="s">
        <v>21</v>
      </c>
      <c r="L295">
        <v>24</v>
      </c>
      <c r="M295" t="s">
        <v>30</v>
      </c>
      <c r="N295" t="s">
        <v>969</v>
      </c>
    </row>
    <row r="296" spans="1:14" x14ac:dyDescent="0.35">
      <c r="A296" t="s">
        <v>970</v>
      </c>
      <c r="B296" t="s">
        <v>971</v>
      </c>
      <c r="C296" s="1">
        <v>45295</v>
      </c>
      <c r="D296" t="s">
        <v>45</v>
      </c>
      <c r="E296" t="s">
        <v>55</v>
      </c>
      <c r="F296" t="s">
        <v>26</v>
      </c>
      <c r="G296" t="s">
        <v>221</v>
      </c>
      <c r="H296">
        <v>5</v>
      </c>
      <c r="I296">
        <v>450000</v>
      </c>
      <c r="J296" t="s">
        <v>83</v>
      </c>
      <c r="K296" t="s">
        <v>29</v>
      </c>
      <c r="L296">
        <v>45</v>
      </c>
      <c r="M296" t="s">
        <v>30</v>
      </c>
      <c r="N296" t="s">
        <v>972</v>
      </c>
    </row>
    <row r="297" spans="1:14" x14ac:dyDescent="0.35">
      <c r="A297" t="s">
        <v>973</v>
      </c>
      <c r="B297" t="s">
        <v>974</v>
      </c>
      <c r="C297" s="1">
        <v>45645</v>
      </c>
      <c r="D297" t="s">
        <v>45</v>
      </c>
      <c r="E297" t="s">
        <v>17</v>
      </c>
      <c r="F297" t="s">
        <v>61</v>
      </c>
      <c r="G297" t="s">
        <v>290</v>
      </c>
      <c r="H297">
        <v>2</v>
      </c>
      <c r="I297">
        <v>180000</v>
      </c>
      <c r="J297" t="s">
        <v>20</v>
      </c>
      <c r="K297" t="s">
        <v>29</v>
      </c>
      <c r="L297">
        <v>27</v>
      </c>
      <c r="M297" t="s">
        <v>22</v>
      </c>
      <c r="N297" t="s">
        <v>975</v>
      </c>
    </row>
    <row r="298" spans="1:14" x14ac:dyDescent="0.35">
      <c r="A298" t="s">
        <v>976</v>
      </c>
      <c r="B298" t="s">
        <v>977</v>
      </c>
      <c r="C298" s="1">
        <v>45105</v>
      </c>
      <c r="D298" t="s">
        <v>16</v>
      </c>
      <c r="E298" t="s">
        <v>34</v>
      </c>
      <c r="F298" t="s">
        <v>77</v>
      </c>
      <c r="G298" t="s">
        <v>383</v>
      </c>
      <c r="H298">
        <v>2</v>
      </c>
      <c r="I298">
        <v>280000</v>
      </c>
      <c r="J298" t="s">
        <v>28</v>
      </c>
      <c r="K298" t="s">
        <v>41</v>
      </c>
      <c r="L298">
        <v>50</v>
      </c>
      <c r="M298" t="s">
        <v>30</v>
      </c>
      <c r="N298" t="s">
        <v>978</v>
      </c>
    </row>
    <row r="299" spans="1:14" x14ac:dyDescent="0.35">
      <c r="A299" t="s">
        <v>979</v>
      </c>
      <c r="B299" t="s">
        <v>980</v>
      </c>
      <c r="C299" s="1">
        <v>45762</v>
      </c>
      <c r="D299" t="s">
        <v>72</v>
      </c>
      <c r="E299" t="s">
        <v>55</v>
      </c>
      <c r="F299" t="s">
        <v>252</v>
      </c>
      <c r="G299" t="s">
        <v>253</v>
      </c>
      <c r="H299">
        <v>3</v>
      </c>
      <c r="I299">
        <v>189000</v>
      </c>
      <c r="J299" t="s">
        <v>46</v>
      </c>
      <c r="K299" t="s">
        <v>41</v>
      </c>
      <c r="L299">
        <v>59</v>
      </c>
      <c r="M299" t="s">
        <v>30</v>
      </c>
      <c r="N299" t="s">
        <v>981</v>
      </c>
    </row>
    <row r="300" spans="1:14" x14ac:dyDescent="0.35">
      <c r="A300" t="s">
        <v>982</v>
      </c>
      <c r="B300" t="s">
        <v>983</v>
      </c>
      <c r="C300" s="1">
        <v>45702</v>
      </c>
      <c r="D300" t="s">
        <v>16</v>
      </c>
      <c r="E300" t="s">
        <v>34</v>
      </c>
      <c r="F300" t="s">
        <v>39</v>
      </c>
      <c r="G300" t="s">
        <v>40</v>
      </c>
      <c r="H300">
        <v>4</v>
      </c>
      <c r="I300">
        <v>480000</v>
      </c>
      <c r="J300" t="s">
        <v>28</v>
      </c>
      <c r="K300" t="s">
        <v>21</v>
      </c>
      <c r="L300">
        <v>55</v>
      </c>
      <c r="M300" t="s">
        <v>30</v>
      </c>
      <c r="N300" t="s">
        <v>984</v>
      </c>
    </row>
    <row r="301" spans="1:14" x14ac:dyDescent="0.35">
      <c r="A301" t="s">
        <v>985</v>
      </c>
      <c r="B301" t="s">
        <v>986</v>
      </c>
      <c r="C301" s="1">
        <v>45462</v>
      </c>
      <c r="D301" t="s">
        <v>45</v>
      </c>
      <c r="E301" t="s">
        <v>34</v>
      </c>
      <c r="F301" t="s">
        <v>26</v>
      </c>
      <c r="G301" t="s">
        <v>35</v>
      </c>
      <c r="H301">
        <v>4</v>
      </c>
      <c r="I301">
        <v>360000</v>
      </c>
      <c r="J301" t="s">
        <v>20</v>
      </c>
      <c r="K301" t="s">
        <v>29</v>
      </c>
      <c r="L301">
        <v>9</v>
      </c>
      <c r="M301" t="s">
        <v>30</v>
      </c>
      <c r="N301" t="s">
        <v>987</v>
      </c>
    </row>
    <row r="302" spans="1:14" x14ac:dyDescent="0.35">
      <c r="A302" t="s">
        <v>988</v>
      </c>
      <c r="B302" t="s">
        <v>989</v>
      </c>
      <c r="C302" s="1">
        <v>45518</v>
      </c>
      <c r="D302" t="s">
        <v>72</v>
      </c>
      <c r="E302" t="s">
        <v>55</v>
      </c>
      <c r="F302" t="s">
        <v>61</v>
      </c>
      <c r="G302" t="s">
        <v>156</v>
      </c>
      <c r="H302">
        <v>5</v>
      </c>
      <c r="I302">
        <v>315000</v>
      </c>
      <c r="J302" t="s">
        <v>28</v>
      </c>
      <c r="K302" t="s">
        <v>41</v>
      </c>
      <c r="L302">
        <v>20</v>
      </c>
      <c r="M302" t="s">
        <v>22</v>
      </c>
      <c r="N302" t="s">
        <v>990</v>
      </c>
    </row>
    <row r="303" spans="1:14" x14ac:dyDescent="0.35">
      <c r="A303" t="s">
        <v>991</v>
      </c>
      <c r="B303" t="s">
        <v>992</v>
      </c>
      <c r="C303" s="1">
        <v>45238</v>
      </c>
      <c r="D303" t="s">
        <v>72</v>
      </c>
      <c r="E303" t="s">
        <v>34</v>
      </c>
      <c r="F303" t="s">
        <v>56</v>
      </c>
      <c r="G303" t="s">
        <v>116</v>
      </c>
      <c r="H303">
        <v>1</v>
      </c>
      <c r="I303">
        <v>63000</v>
      </c>
      <c r="J303" t="s">
        <v>108</v>
      </c>
      <c r="K303" t="s">
        <v>41</v>
      </c>
      <c r="L303">
        <v>39</v>
      </c>
      <c r="M303" t="s">
        <v>22</v>
      </c>
      <c r="N303" t="s">
        <v>993</v>
      </c>
    </row>
    <row r="304" spans="1:14" x14ac:dyDescent="0.35">
      <c r="A304" t="s">
        <v>994</v>
      </c>
      <c r="B304" t="s">
        <v>995</v>
      </c>
      <c r="C304" s="1">
        <v>45107</v>
      </c>
      <c r="D304" t="s">
        <v>72</v>
      </c>
      <c r="E304" t="s">
        <v>17</v>
      </c>
      <c r="F304" t="s">
        <v>18</v>
      </c>
      <c r="G304" t="s">
        <v>452</v>
      </c>
      <c r="H304">
        <v>5</v>
      </c>
      <c r="I304">
        <v>270000</v>
      </c>
      <c r="J304" t="s">
        <v>20</v>
      </c>
      <c r="K304" t="s">
        <v>21</v>
      </c>
      <c r="L304">
        <v>8</v>
      </c>
      <c r="M304" t="s">
        <v>22</v>
      </c>
      <c r="N304" t="s">
        <v>996</v>
      </c>
    </row>
    <row r="305" spans="1:14" x14ac:dyDescent="0.35">
      <c r="A305" t="s">
        <v>997</v>
      </c>
      <c r="B305" t="s">
        <v>998</v>
      </c>
      <c r="C305" s="1">
        <v>45487</v>
      </c>
      <c r="D305" t="s">
        <v>16</v>
      </c>
      <c r="E305" t="s">
        <v>55</v>
      </c>
      <c r="F305" t="s">
        <v>26</v>
      </c>
      <c r="G305" t="s">
        <v>124</v>
      </c>
      <c r="H305">
        <v>4</v>
      </c>
      <c r="I305">
        <v>480000</v>
      </c>
      <c r="J305" t="s">
        <v>28</v>
      </c>
      <c r="K305" t="s">
        <v>21</v>
      </c>
      <c r="L305">
        <v>45</v>
      </c>
      <c r="M305" t="s">
        <v>30</v>
      </c>
      <c r="N305" t="s">
        <v>999</v>
      </c>
    </row>
    <row r="306" spans="1:14" x14ac:dyDescent="0.35">
      <c r="A306" t="s">
        <v>1000</v>
      </c>
      <c r="B306" t="s">
        <v>1001</v>
      </c>
      <c r="C306" s="1">
        <v>45227</v>
      </c>
      <c r="D306" t="s">
        <v>66</v>
      </c>
      <c r="E306" t="s">
        <v>55</v>
      </c>
      <c r="F306" t="s">
        <v>163</v>
      </c>
      <c r="G306" t="s">
        <v>536</v>
      </c>
      <c r="H306">
        <v>4</v>
      </c>
      <c r="I306">
        <v>288000</v>
      </c>
      <c r="J306" t="s">
        <v>28</v>
      </c>
      <c r="K306" t="s">
        <v>21</v>
      </c>
      <c r="L306">
        <v>53</v>
      </c>
      <c r="M306" t="s">
        <v>30</v>
      </c>
      <c r="N306" t="s">
        <v>1002</v>
      </c>
    </row>
    <row r="307" spans="1:14" x14ac:dyDescent="0.35">
      <c r="A307" t="s">
        <v>1003</v>
      </c>
      <c r="B307" t="s">
        <v>1004</v>
      </c>
      <c r="C307" s="1">
        <v>45084</v>
      </c>
      <c r="D307" t="s">
        <v>16</v>
      </c>
      <c r="E307" t="s">
        <v>55</v>
      </c>
      <c r="F307" t="s">
        <v>39</v>
      </c>
      <c r="G307" t="s">
        <v>82</v>
      </c>
      <c r="H307">
        <v>1</v>
      </c>
      <c r="I307">
        <v>140000</v>
      </c>
      <c r="J307" t="s">
        <v>108</v>
      </c>
      <c r="K307" t="s">
        <v>41</v>
      </c>
      <c r="L307">
        <v>53</v>
      </c>
      <c r="M307" t="s">
        <v>30</v>
      </c>
      <c r="N307" t="s">
        <v>1005</v>
      </c>
    </row>
    <row r="308" spans="1:14" x14ac:dyDescent="0.35">
      <c r="A308" t="s">
        <v>1006</v>
      </c>
      <c r="B308" t="s">
        <v>1007</v>
      </c>
      <c r="C308" s="1">
        <v>45126</v>
      </c>
      <c r="D308" t="s">
        <v>16</v>
      </c>
      <c r="E308" t="s">
        <v>34</v>
      </c>
      <c r="F308" t="s">
        <v>39</v>
      </c>
      <c r="G308" t="s">
        <v>82</v>
      </c>
      <c r="H308">
        <v>1</v>
      </c>
      <c r="I308">
        <v>100000</v>
      </c>
      <c r="J308" t="s">
        <v>46</v>
      </c>
      <c r="K308" t="s">
        <v>29</v>
      </c>
      <c r="L308">
        <v>19</v>
      </c>
      <c r="M308" t="s">
        <v>22</v>
      </c>
      <c r="N308" t="s">
        <v>1008</v>
      </c>
    </row>
    <row r="309" spans="1:14" x14ac:dyDescent="0.35">
      <c r="A309" t="s">
        <v>1009</v>
      </c>
      <c r="B309" t="s">
        <v>1010</v>
      </c>
      <c r="C309" s="1">
        <v>45438</v>
      </c>
      <c r="D309" t="s">
        <v>45</v>
      </c>
      <c r="E309" t="s">
        <v>55</v>
      </c>
      <c r="F309" t="s">
        <v>67</v>
      </c>
      <c r="G309" t="s">
        <v>128</v>
      </c>
      <c r="H309">
        <v>1</v>
      </c>
      <c r="I309">
        <v>90000</v>
      </c>
      <c r="J309" t="s">
        <v>20</v>
      </c>
      <c r="K309" t="s">
        <v>29</v>
      </c>
      <c r="L309">
        <v>10</v>
      </c>
      <c r="M309" t="s">
        <v>22</v>
      </c>
      <c r="N309" t="s">
        <v>1011</v>
      </c>
    </row>
    <row r="310" spans="1:14" x14ac:dyDescent="0.35">
      <c r="A310" t="s">
        <v>1012</v>
      </c>
      <c r="B310" t="s">
        <v>1013</v>
      </c>
      <c r="C310" s="1">
        <v>45273</v>
      </c>
      <c r="D310" t="s">
        <v>45</v>
      </c>
      <c r="E310" t="s">
        <v>55</v>
      </c>
      <c r="F310" t="s">
        <v>26</v>
      </c>
      <c r="G310" t="s">
        <v>221</v>
      </c>
      <c r="H310">
        <v>4</v>
      </c>
      <c r="I310">
        <v>360000</v>
      </c>
      <c r="J310" t="s">
        <v>28</v>
      </c>
      <c r="K310" t="s">
        <v>29</v>
      </c>
      <c r="L310">
        <v>17</v>
      </c>
      <c r="M310" t="s">
        <v>22</v>
      </c>
      <c r="N310" t="s">
        <v>1014</v>
      </c>
    </row>
    <row r="311" spans="1:14" x14ac:dyDescent="0.35">
      <c r="A311" t="s">
        <v>1015</v>
      </c>
      <c r="B311" t="s">
        <v>1016</v>
      </c>
      <c r="C311" s="1">
        <v>45426</v>
      </c>
      <c r="D311" t="s">
        <v>66</v>
      </c>
      <c r="E311" t="s">
        <v>34</v>
      </c>
      <c r="F311" t="s">
        <v>77</v>
      </c>
      <c r="G311" t="s">
        <v>91</v>
      </c>
      <c r="H311">
        <v>5</v>
      </c>
      <c r="I311">
        <v>420000</v>
      </c>
      <c r="J311" t="s">
        <v>83</v>
      </c>
      <c r="K311" t="s">
        <v>41</v>
      </c>
      <c r="L311">
        <v>18</v>
      </c>
      <c r="M311" t="s">
        <v>30</v>
      </c>
      <c r="N311" t="s">
        <v>1017</v>
      </c>
    </row>
    <row r="312" spans="1:14" x14ac:dyDescent="0.35">
      <c r="A312" t="s">
        <v>1018</v>
      </c>
      <c r="B312" t="s">
        <v>1019</v>
      </c>
      <c r="C312" s="1">
        <v>45184</v>
      </c>
      <c r="D312" t="s">
        <v>66</v>
      </c>
      <c r="E312" t="s">
        <v>55</v>
      </c>
      <c r="F312" t="s">
        <v>50</v>
      </c>
      <c r="G312" t="s">
        <v>51</v>
      </c>
      <c r="H312">
        <v>1</v>
      </c>
      <c r="I312">
        <v>84000</v>
      </c>
      <c r="J312" t="s">
        <v>83</v>
      </c>
      <c r="K312" t="s">
        <v>41</v>
      </c>
      <c r="L312">
        <v>52</v>
      </c>
      <c r="M312" t="s">
        <v>22</v>
      </c>
      <c r="N312" t="s">
        <v>1020</v>
      </c>
    </row>
    <row r="313" spans="1:14" x14ac:dyDescent="0.35">
      <c r="A313" t="s">
        <v>1021</v>
      </c>
      <c r="B313" t="s">
        <v>1022</v>
      </c>
      <c r="C313" s="1">
        <v>45419</v>
      </c>
      <c r="D313" t="s">
        <v>16</v>
      </c>
      <c r="E313" t="s">
        <v>17</v>
      </c>
      <c r="F313" t="s">
        <v>18</v>
      </c>
      <c r="G313" t="s">
        <v>103</v>
      </c>
      <c r="H313">
        <v>5</v>
      </c>
      <c r="I313">
        <v>700000</v>
      </c>
      <c r="J313" t="s">
        <v>28</v>
      </c>
      <c r="K313" t="s">
        <v>41</v>
      </c>
      <c r="L313">
        <v>36</v>
      </c>
      <c r="M313" t="s">
        <v>30</v>
      </c>
      <c r="N313" t="s">
        <v>1023</v>
      </c>
    </row>
    <row r="314" spans="1:14" x14ac:dyDescent="0.35">
      <c r="A314" t="s">
        <v>1024</v>
      </c>
      <c r="B314" t="s">
        <v>1025</v>
      </c>
      <c r="C314" s="1">
        <v>45731</v>
      </c>
      <c r="D314" t="s">
        <v>66</v>
      </c>
      <c r="E314" t="s">
        <v>55</v>
      </c>
      <c r="F314" t="s">
        <v>39</v>
      </c>
      <c r="G314" t="s">
        <v>393</v>
      </c>
      <c r="H314">
        <v>1</v>
      </c>
      <c r="I314">
        <v>84000</v>
      </c>
      <c r="J314" t="s">
        <v>20</v>
      </c>
      <c r="K314" t="s">
        <v>41</v>
      </c>
      <c r="L314">
        <v>60</v>
      </c>
      <c r="M314" t="s">
        <v>30</v>
      </c>
      <c r="N314" t="s">
        <v>1026</v>
      </c>
    </row>
    <row r="315" spans="1:14" x14ac:dyDescent="0.35">
      <c r="A315" t="s">
        <v>1027</v>
      </c>
      <c r="B315" t="s">
        <v>1028</v>
      </c>
      <c r="C315" s="1">
        <v>45131</v>
      </c>
      <c r="D315" t="s">
        <v>72</v>
      </c>
      <c r="E315" t="s">
        <v>55</v>
      </c>
      <c r="F315" t="s">
        <v>67</v>
      </c>
      <c r="G315" t="s">
        <v>112</v>
      </c>
      <c r="H315">
        <v>3</v>
      </c>
      <c r="I315">
        <v>189000</v>
      </c>
      <c r="J315" t="s">
        <v>20</v>
      </c>
      <c r="K315" t="s">
        <v>41</v>
      </c>
      <c r="L315">
        <v>34</v>
      </c>
      <c r="M315" t="s">
        <v>30</v>
      </c>
      <c r="N315" t="s">
        <v>1029</v>
      </c>
    </row>
    <row r="316" spans="1:14" x14ac:dyDescent="0.35">
      <c r="A316" t="s">
        <v>1030</v>
      </c>
      <c r="B316" t="s">
        <v>1031</v>
      </c>
      <c r="C316" s="1">
        <v>45600</v>
      </c>
      <c r="D316" t="s">
        <v>66</v>
      </c>
      <c r="E316" t="s">
        <v>34</v>
      </c>
      <c r="F316" t="s">
        <v>77</v>
      </c>
      <c r="G316" t="s">
        <v>383</v>
      </c>
      <c r="H316">
        <v>3</v>
      </c>
      <c r="I316">
        <v>216000</v>
      </c>
      <c r="J316" t="s">
        <v>83</v>
      </c>
      <c r="K316" t="s">
        <v>21</v>
      </c>
      <c r="L316">
        <v>28</v>
      </c>
      <c r="M316" t="s">
        <v>22</v>
      </c>
      <c r="N316" t="s">
        <v>1032</v>
      </c>
    </row>
    <row r="317" spans="1:14" x14ac:dyDescent="0.35">
      <c r="A317" t="s">
        <v>1033</v>
      </c>
      <c r="B317" t="s">
        <v>1034</v>
      </c>
      <c r="C317" s="1">
        <v>45219</v>
      </c>
      <c r="D317" t="s">
        <v>66</v>
      </c>
      <c r="E317" t="s">
        <v>55</v>
      </c>
      <c r="F317" t="s">
        <v>26</v>
      </c>
      <c r="G317" t="s">
        <v>27</v>
      </c>
      <c r="H317">
        <v>2</v>
      </c>
      <c r="I317">
        <v>144000</v>
      </c>
      <c r="J317" t="s">
        <v>83</v>
      </c>
      <c r="K317" t="s">
        <v>21</v>
      </c>
      <c r="L317">
        <v>7</v>
      </c>
      <c r="M317" t="s">
        <v>30</v>
      </c>
      <c r="N317" t="s">
        <v>1035</v>
      </c>
    </row>
    <row r="318" spans="1:14" x14ac:dyDescent="0.35">
      <c r="A318" t="s">
        <v>1036</v>
      </c>
      <c r="B318" t="s">
        <v>1037</v>
      </c>
      <c r="C318" s="1">
        <v>45527</v>
      </c>
      <c r="D318" t="s">
        <v>16</v>
      </c>
      <c r="E318" t="s">
        <v>55</v>
      </c>
      <c r="F318" t="s">
        <v>252</v>
      </c>
      <c r="G318" t="s">
        <v>257</v>
      </c>
      <c r="H318">
        <v>2</v>
      </c>
      <c r="I318">
        <v>200000</v>
      </c>
      <c r="J318" t="s">
        <v>83</v>
      </c>
      <c r="K318" t="s">
        <v>29</v>
      </c>
      <c r="L318">
        <v>56</v>
      </c>
      <c r="M318" t="s">
        <v>30</v>
      </c>
      <c r="N318" t="s">
        <v>1038</v>
      </c>
    </row>
    <row r="319" spans="1:14" x14ac:dyDescent="0.35">
      <c r="A319" t="s">
        <v>1039</v>
      </c>
      <c r="B319" t="s">
        <v>1040</v>
      </c>
      <c r="C319" s="1">
        <v>45591</v>
      </c>
      <c r="D319" t="s">
        <v>66</v>
      </c>
      <c r="E319" t="s">
        <v>17</v>
      </c>
      <c r="F319" t="s">
        <v>26</v>
      </c>
      <c r="G319" t="s">
        <v>27</v>
      </c>
      <c r="H319">
        <v>4</v>
      </c>
      <c r="I319">
        <v>240000</v>
      </c>
      <c r="J319" t="s">
        <v>83</v>
      </c>
      <c r="K319" t="s">
        <v>29</v>
      </c>
      <c r="L319">
        <v>34</v>
      </c>
      <c r="M319" t="s">
        <v>30</v>
      </c>
      <c r="N319" t="s">
        <v>1041</v>
      </c>
    </row>
    <row r="320" spans="1:14" x14ac:dyDescent="0.35">
      <c r="A320" t="s">
        <v>1042</v>
      </c>
      <c r="B320" t="s">
        <v>1043</v>
      </c>
      <c r="C320" s="1">
        <v>45360</v>
      </c>
      <c r="D320" t="s">
        <v>72</v>
      </c>
      <c r="E320" t="s">
        <v>55</v>
      </c>
      <c r="F320" t="s">
        <v>39</v>
      </c>
      <c r="G320" t="s">
        <v>140</v>
      </c>
      <c r="H320">
        <v>4</v>
      </c>
      <c r="I320">
        <v>216000</v>
      </c>
      <c r="J320" t="s">
        <v>83</v>
      </c>
      <c r="K320" t="s">
        <v>21</v>
      </c>
      <c r="L320">
        <v>52</v>
      </c>
      <c r="M320" t="s">
        <v>22</v>
      </c>
      <c r="N320" t="s">
        <v>1044</v>
      </c>
    </row>
    <row r="321" spans="1:14" x14ac:dyDescent="0.35">
      <c r="A321" t="s">
        <v>1045</v>
      </c>
      <c r="B321" t="s">
        <v>1046</v>
      </c>
      <c r="C321" s="1">
        <v>45607</v>
      </c>
      <c r="D321" t="s">
        <v>45</v>
      </c>
      <c r="E321" t="s">
        <v>17</v>
      </c>
      <c r="F321" t="s">
        <v>50</v>
      </c>
      <c r="G321" t="s">
        <v>51</v>
      </c>
      <c r="H321">
        <v>2</v>
      </c>
      <c r="I321">
        <v>180000</v>
      </c>
      <c r="J321" t="s">
        <v>108</v>
      </c>
      <c r="K321" t="s">
        <v>29</v>
      </c>
      <c r="L321">
        <v>28</v>
      </c>
      <c r="M321" t="s">
        <v>22</v>
      </c>
      <c r="N321" t="s">
        <v>1047</v>
      </c>
    </row>
    <row r="322" spans="1:14" x14ac:dyDescent="0.35">
      <c r="A322" t="s">
        <v>1048</v>
      </c>
      <c r="B322" t="s">
        <v>1049</v>
      </c>
      <c r="C322" s="1">
        <v>45685</v>
      </c>
      <c r="D322" t="s">
        <v>16</v>
      </c>
      <c r="E322" t="s">
        <v>17</v>
      </c>
      <c r="F322" t="s">
        <v>163</v>
      </c>
      <c r="G322" t="s">
        <v>536</v>
      </c>
      <c r="H322">
        <v>3</v>
      </c>
      <c r="I322">
        <v>300000</v>
      </c>
      <c r="J322" t="s">
        <v>83</v>
      </c>
      <c r="K322" t="s">
        <v>29</v>
      </c>
      <c r="L322">
        <v>18</v>
      </c>
      <c r="M322" t="s">
        <v>30</v>
      </c>
      <c r="N322" t="s">
        <v>1050</v>
      </c>
    </row>
    <row r="323" spans="1:14" x14ac:dyDescent="0.35">
      <c r="A323" t="s">
        <v>1051</v>
      </c>
      <c r="B323" t="s">
        <v>1052</v>
      </c>
      <c r="C323" s="1">
        <v>45706</v>
      </c>
      <c r="D323" t="s">
        <v>16</v>
      </c>
      <c r="E323" t="s">
        <v>55</v>
      </c>
      <c r="F323" t="s">
        <v>77</v>
      </c>
      <c r="G323" t="s">
        <v>78</v>
      </c>
      <c r="H323">
        <v>3</v>
      </c>
      <c r="I323">
        <v>420000</v>
      </c>
      <c r="J323" t="s">
        <v>20</v>
      </c>
      <c r="K323" t="s">
        <v>41</v>
      </c>
      <c r="L323">
        <v>11</v>
      </c>
      <c r="M323" t="s">
        <v>22</v>
      </c>
      <c r="N323" t="s">
        <v>1053</v>
      </c>
    </row>
    <row r="324" spans="1:14" x14ac:dyDescent="0.35">
      <c r="A324" t="s">
        <v>1054</v>
      </c>
      <c r="B324" t="s">
        <v>1055</v>
      </c>
      <c r="C324" s="1">
        <v>45318</v>
      </c>
      <c r="D324" t="s">
        <v>66</v>
      </c>
      <c r="E324" t="s">
        <v>34</v>
      </c>
      <c r="F324" t="s">
        <v>252</v>
      </c>
      <c r="G324" t="s">
        <v>504</v>
      </c>
      <c r="H324">
        <v>4</v>
      </c>
      <c r="I324">
        <v>240000</v>
      </c>
      <c r="J324" t="s">
        <v>20</v>
      </c>
      <c r="K324" t="s">
        <v>29</v>
      </c>
      <c r="L324">
        <v>56</v>
      </c>
      <c r="M324" t="s">
        <v>22</v>
      </c>
      <c r="N324" t="s">
        <v>1056</v>
      </c>
    </row>
    <row r="325" spans="1:14" x14ac:dyDescent="0.35">
      <c r="A325" t="s">
        <v>1057</v>
      </c>
      <c r="B325" t="s">
        <v>1058</v>
      </c>
      <c r="C325" s="1">
        <v>45065</v>
      </c>
      <c r="D325" t="s">
        <v>45</v>
      </c>
      <c r="E325" t="s">
        <v>17</v>
      </c>
      <c r="F325" t="s">
        <v>61</v>
      </c>
      <c r="G325" t="s">
        <v>156</v>
      </c>
      <c r="H325">
        <v>1</v>
      </c>
      <c r="I325">
        <v>108000</v>
      </c>
      <c r="J325" t="s">
        <v>28</v>
      </c>
      <c r="K325" t="s">
        <v>21</v>
      </c>
      <c r="L325">
        <v>12</v>
      </c>
      <c r="M325" t="s">
        <v>22</v>
      </c>
      <c r="N325" t="s">
        <v>1059</v>
      </c>
    </row>
    <row r="326" spans="1:14" x14ac:dyDescent="0.35">
      <c r="A326" t="s">
        <v>1060</v>
      </c>
      <c r="B326" t="s">
        <v>1061</v>
      </c>
      <c r="C326" s="1">
        <v>45468</v>
      </c>
      <c r="D326" t="s">
        <v>45</v>
      </c>
      <c r="E326" t="s">
        <v>34</v>
      </c>
      <c r="F326" t="s">
        <v>67</v>
      </c>
      <c r="G326" t="s">
        <v>448</v>
      </c>
      <c r="H326">
        <v>5</v>
      </c>
      <c r="I326">
        <v>540000</v>
      </c>
      <c r="J326" t="s">
        <v>108</v>
      </c>
      <c r="K326" t="s">
        <v>21</v>
      </c>
      <c r="L326">
        <v>14</v>
      </c>
      <c r="M326" t="s">
        <v>30</v>
      </c>
      <c r="N326" t="s">
        <v>1062</v>
      </c>
    </row>
    <row r="327" spans="1:14" x14ac:dyDescent="0.35">
      <c r="A327" t="s">
        <v>1063</v>
      </c>
      <c r="B327" t="s">
        <v>1064</v>
      </c>
      <c r="C327" s="1">
        <v>45586</v>
      </c>
      <c r="D327" t="s">
        <v>66</v>
      </c>
      <c r="E327" t="s">
        <v>55</v>
      </c>
      <c r="F327" t="s">
        <v>61</v>
      </c>
      <c r="G327" t="s">
        <v>99</v>
      </c>
      <c r="H327">
        <v>2</v>
      </c>
      <c r="I327">
        <v>120000</v>
      </c>
      <c r="J327" t="s">
        <v>46</v>
      </c>
      <c r="K327" t="s">
        <v>29</v>
      </c>
      <c r="L327">
        <v>7</v>
      </c>
      <c r="M327" t="s">
        <v>22</v>
      </c>
      <c r="N327" t="s">
        <v>1065</v>
      </c>
    </row>
    <row r="328" spans="1:14" x14ac:dyDescent="0.35">
      <c r="A328" t="s">
        <v>1066</v>
      </c>
      <c r="B328" t="s">
        <v>1067</v>
      </c>
      <c r="C328" s="1">
        <v>45557</v>
      </c>
      <c r="D328" t="s">
        <v>72</v>
      </c>
      <c r="E328" t="s">
        <v>55</v>
      </c>
      <c r="F328" t="s">
        <v>56</v>
      </c>
      <c r="G328" t="s">
        <v>116</v>
      </c>
      <c r="H328">
        <v>2</v>
      </c>
      <c r="I328">
        <v>108000</v>
      </c>
      <c r="J328" t="s">
        <v>28</v>
      </c>
      <c r="K328" t="s">
        <v>21</v>
      </c>
      <c r="L328">
        <v>48</v>
      </c>
      <c r="M328" t="s">
        <v>30</v>
      </c>
      <c r="N328" t="s">
        <v>1068</v>
      </c>
    </row>
    <row r="329" spans="1:14" x14ac:dyDescent="0.35">
      <c r="A329" t="s">
        <v>1069</v>
      </c>
      <c r="B329" t="s">
        <v>1070</v>
      </c>
      <c r="C329" s="1">
        <v>45662</v>
      </c>
      <c r="D329" t="s">
        <v>66</v>
      </c>
      <c r="E329" t="s">
        <v>34</v>
      </c>
      <c r="F329" t="s">
        <v>77</v>
      </c>
      <c r="G329" t="s">
        <v>91</v>
      </c>
      <c r="H329">
        <v>5</v>
      </c>
      <c r="I329">
        <v>360000</v>
      </c>
      <c r="J329" t="s">
        <v>108</v>
      </c>
      <c r="K329" t="s">
        <v>21</v>
      </c>
      <c r="L329">
        <v>48</v>
      </c>
      <c r="M329" t="s">
        <v>30</v>
      </c>
      <c r="N329" t="s">
        <v>1071</v>
      </c>
    </row>
    <row r="330" spans="1:14" x14ac:dyDescent="0.35">
      <c r="A330" t="s">
        <v>1072</v>
      </c>
      <c r="B330" t="s">
        <v>1073</v>
      </c>
      <c r="C330" s="1">
        <v>45261</v>
      </c>
      <c r="D330" t="s">
        <v>45</v>
      </c>
      <c r="E330" t="s">
        <v>17</v>
      </c>
      <c r="F330" t="s">
        <v>252</v>
      </c>
      <c r="G330" t="s">
        <v>286</v>
      </c>
      <c r="H330">
        <v>3</v>
      </c>
      <c r="I330">
        <v>324000</v>
      </c>
      <c r="J330" t="s">
        <v>20</v>
      </c>
      <c r="K330" t="s">
        <v>21</v>
      </c>
      <c r="L330">
        <v>41</v>
      </c>
      <c r="M330" t="s">
        <v>22</v>
      </c>
      <c r="N330" t="s">
        <v>1074</v>
      </c>
    </row>
    <row r="331" spans="1:14" x14ac:dyDescent="0.35">
      <c r="A331" t="s">
        <v>1075</v>
      </c>
      <c r="B331" t="s">
        <v>1076</v>
      </c>
      <c r="C331" s="1">
        <v>45094</v>
      </c>
      <c r="D331" t="s">
        <v>72</v>
      </c>
      <c r="E331" t="s">
        <v>17</v>
      </c>
      <c r="F331" t="s">
        <v>18</v>
      </c>
      <c r="G331" t="s">
        <v>297</v>
      </c>
      <c r="H331">
        <v>3</v>
      </c>
      <c r="I331">
        <v>162000</v>
      </c>
      <c r="J331" t="s">
        <v>28</v>
      </c>
      <c r="K331" t="s">
        <v>21</v>
      </c>
      <c r="L331">
        <v>32</v>
      </c>
      <c r="M331" t="s">
        <v>22</v>
      </c>
      <c r="N331" t="s">
        <v>1077</v>
      </c>
    </row>
    <row r="332" spans="1:14" x14ac:dyDescent="0.35">
      <c r="A332" t="s">
        <v>1078</v>
      </c>
      <c r="B332" t="s">
        <v>1079</v>
      </c>
      <c r="C332" s="1">
        <v>45752</v>
      </c>
      <c r="D332" t="s">
        <v>72</v>
      </c>
      <c r="E332" t="s">
        <v>55</v>
      </c>
      <c r="F332" t="s">
        <v>50</v>
      </c>
      <c r="G332" t="s">
        <v>73</v>
      </c>
      <c r="H332">
        <v>5</v>
      </c>
      <c r="I332">
        <v>225000</v>
      </c>
      <c r="J332" t="s">
        <v>46</v>
      </c>
      <c r="K332" t="s">
        <v>29</v>
      </c>
      <c r="L332">
        <v>20</v>
      </c>
      <c r="M332" t="s">
        <v>30</v>
      </c>
      <c r="N332" t="s">
        <v>1080</v>
      </c>
    </row>
    <row r="333" spans="1:14" x14ac:dyDescent="0.35">
      <c r="A333" t="s">
        <v>1081</v>
      </c>
      <c r="B333" t="s">
        <v>1082</v>
      </c>
      <c r="C333" s="1">
        <v>45136</v>
      </c>
      <c r="D333" t="s">
        <v>16</v>
      </c>
      <c r="E333" t="s">
        <v>17</v>
      </c>
      <c r="F333" t="s">
        <v>26</v>
      </c>
      <c r="G333" t="s">
        <v>35</v>
      </c>
      <c r="H333">
        <v>5</v>
      </c>
      <c r="I333">
        <v>700000</v>
      </c>
      <c r="J333" t="s">
        <v>108</v>
      </c>
      <c r="K333" t="s">
        <v>41</v>
      </c>
      <c r="L333">
        <v>27</v>
      </c>
      <c r="M333" t="s">
        <v>30</v>
      </c>
      <c r="N333" t="s">
        <v>1083</v>
      </c>
    </row>
    <row r="334" spans="1:14" x14ac:dyDescent="0.35">
      <c r="A334" t="s">
        <v>1084</v>
      </c>
      <c r="B334" t="s">
        <v>1085</v>
      </c>
      <c r="C334" s="1">
        <v>45496</v>
      </c>
      <c r="D334" t="s">
        <v>45</v>
      </c>
      <c r="E334" t="s">
        <v>34</v>
      </c>
      <c r="F334" t="s">
        <v>56</v>
      </c>
      <c r="G334" t="s">
        <v>116</v>
      </c>
      <c r="H334">
        <v>5</v>
      </c>
      <c r="I334">
        <v>630000</v>
      </c>
      <c r="J334" t="s">
        <v>108</v>
      </c>
      <c r="K334" t="s">
        <v>41</v>
      </c>
      <c r="L334">
        <v>48</v>
      </c>
      <c r="M334" t="s">
        <v>22</v>
      </c>
      <c r="N334" t="s">
        <v>1086</v>
      </c>
    </row>
    <row r="335" spans="1:14" x14ac:dyDescent="0.35">
      <c r="A335" t="s">
        <v>1087</v>
      </c>
      <c r="B335" t="s">
        <v>1088</v>
      </c>
      <c r="C335" s="1">
        <v>45572</v>
      </c>
      <c r="D335" t="s">
        <v>16</v>
      </c>
      <c r="E335" t="s">
        <v>17</v>
      </c>
      <c r="F335" t="s">
        <v>61</v>
      </c>
      <c r="G335" t="s">
        <v>290</v>
      </c>
      <c r="H335">
        <v>4</v>
      </c>
      <c r="I335">
        <v>400000</v>
      </c>
      <c r="J335" t="s">
        <v>108</v>
      </c>
      <c r="K335" t="s">
        <v>29</v>
      </c>
      <c r="L335">
        <v>19</v>
      </c>
      <c r="M335" t="s">
        <v>30</v>
      </c>
      <c r="N335" t="s">
        <v>1089</v>
      </c>
    </row>
    <row r="336" spans="1:14" x14ac:dyDescent="0.35">
      <c r="A336" t="s">
        <v>1090</v>
      </c>
      <c r="B336" t="s">
        <v>1091</v>
      </c>
      <c r="C336" s="1">
        <v>45587</v>
      </c>
      <c r="D336" t="s">
        <v>72</v>
      </c>
      <c r="E336" t="s">
        <v>55</v>
      </c>
      <c r="F336" t="s">
        <v>252</v>
      </c>
      <c r="G336" t="s">
        <v>253</v>
      </c>
      <c r="H336">
        <v>4</v>
      </c>
      <c r="I336">
        <v>180000</v>
      </c>
      <c r="J336" t="s">
        <v>20</v>
      </c>
      <c r="K336" t="s">
        <v>29</v>
      </c>
      <c r="L336">
        <v>43</v>
      </c>
      <c r="M336" t="s">
        <v>30</v>
      </c>
      <c r="N336" t="s">
        <v>1092</v>
      </c>
    </row>
    <row r="337" spans="1:14" x14ac:dyDescent="0.35">
      <c r="A337" t="s">
        <v>1093</v>
      </c>
      <c r="B337" t="s">
        <v>1094</v>
      </c>
      <c r="C337" s="1">
        <v>45051</v>
      </c>
      <c r="D337" t="s">
        <v>45</v>
      </c>
      <c r="E337" t="s">
        <v>34</v>
      </c>
      <c r="F337" t="s">
        <v>61</v>
      </c>
      <c r="G337" t="s">
        <v>62</v>
      </c>
      <c r="H337">
        <v>4</v>
      </c>
      <c r="I337">
        <v>432000</v>
      </c>
      <c r="J337" t="s">
        <v>83</v>
      </c>
      <c r="K337" t="s">
        <v>21</v>
      </c>
      <c r="L337">
        <v>37</v>
      </c>
      <c r="M337" t="s">
        <v>22</v>
      </c>
      <c r="N337" t="s">
        <v>1095</v>
      </c>
    </row>
    <row r="338" spans="1:14" x14ac:dyDescent="0.35">
      <c r="A338" t="s">
        <v>1096</v>
      </c>
      <c r="B338" t="s">
        <v>1097</v>
      </c>
      <c r="C338" s="1">
        <v>45486</v>
      </c>
      <c r="D338" t="s">
        <v>66</v>
      </c>
      <c r="E338" t="s">
        <v>17</v>
      </c>
      <c r="F338" t="s">
        <v>67</v>
      </c>
      <c r="G338" t="s">
        <v>112</v>
      </c>
      <c r="H338">
        <v>2</v>
      </c>
      <c r="I338">
        <v>120000</v>
      </c>
      <c r="J338" t="s">
        <v>108</v>
      </c>
      <c r="K338" t="s">
        <v>29</v>
      </c>
      <c r="L338">
        <v>6</v>
      </c>
      <c r="M338" t="s">
        <v>30</v>
      </c>
      <c r="N338" t="s">
        <v>1098</v>
      </c>
    </row>
    <row r="339" spans="1:14" x14ac:dyDescent="0.35">
      <c r="A339" t="s">
        <v>1099</v>
      </c>
      <c r="B339" t="s">
        <v>1100</v>
      </c>
      <c r="C339" s="1">
        <v>45652</v>
      </c>
      <c r="D339" t="s">
        <v>66</v>
      </c>
      <c r="E339" t="s">
        <v>55</v>
      </c>
      <c r="F339" t="s">
        <v>77</v>
      </c>
      <c r="G339" t="s">
        <v>91</v>
      </c>
      <c r="H339">
        <v>2</v>
      </c>
      <c r="I339">
        <v>144000</v>
      </c>
      <c r="J339" t="s">
        <v>46</v>
      </c>
      <c r="K339" t="s">
        <v>21</v>
      </c>
      <c r="L339">
        <v>29</v>
      </c>
      <c r="M339" t="s">
        <v>22</v>
      </c>
      <c r="N339" t="s">
        <v>1101</v>
      </c>
    </row>
    <row r="340" spans="1:14" x14ac:dyDescent="0.35">
      <c r="A340" t="s">
        <v>1102</v>
      </c>
      <c r="B340" t="s">
        <v>1103</v>
      </c>
      <c r="C340" s="1">
        <v>45313</v>
      </c>
      <c r="D340" t="s">
        <v>16</v>
      </c>
      <c r="E340" t="s">
        <v>34</v>
      </c>
      <c r="F340" t="s">
        <v>67</v>
      </c>
      <c r="G340" t="s">
        <v>112</v>
      </c>
      <c r="H340">
        <v>1</v>
      </c>
      <c r="I340">
        <v>140000</v>
      </c>
      <c r="J340" t="s">
        <v>28</v>
      </c>
      <c r="K340" t="s">
        <v>41</v>
      </c>
      <c r="L340">
        <v>42</v>
      </c>
      <c r="M340" t="s">
        <v>22</v>
      </c>
      <c r="N340" t="s">
        <v>1104</v>
      </c>
    </row>
    <row r="341" spans="1:14" x14ac:dyDescent="0.35">
      <c r="A341" t="s">
        <v>1105</v>
      </c>
      <c r="B341" t="s">
        <v>1106</v>
      </c>
      <c r="C341" s="1">
        <v>45552</v>
      </c>
      <c r="D341" t="s">
        <v>66</v>
      </c>
      <c r="E341" t="s">
        <v>55</v>
      </c>
      <c r="F341" t="s">
        <v>163</v>
      </c>
      <c r="G341" t="s">
        <v>201</v>
      </c>
      <c r="H341">
        <v>1</v>
      </c>
      <c r="I341">
        <v>60000</v>
      </c>
      <c r="J341" t="s">
        <v>46</v>
      </c>
      <c r="K341" t="s">
        <v>29</v>
      </c>
      <c r="L341">
        <v>42</v>
      </c>
      <c r="M341" t="s">
        <v>22</v>
      </c>
      <c r="N341" t="s">
        <v>1107</v>
      </c>
    </row>
    <row r="342" spans="1:14" x14ac:dyDescent="0.35">
      <c r="A342" t="s">
        <v>1108</v>
      </c>
      <c r="B342" t="s">
        <v>1109</v>
      </c>
      <c r="C342" s="1">
        <v>45341</v>
      </c>
      <c r="D342" t="s">
        <v>66</v>
      </c>
      <c r="E342" t="s">
        <v>34</v>
      </c>
      <c r="F342" t="s">
        <v>252</v>
      </c>
      <c r="G342" t="s">
        <v>307</v>
      </c>
      <c r="H342">
        <v>2</v>
      </c>
      <c r="I342">
        <v>144000</v>
      </c>
      <c r="J342" t="s">
        <v>108</v>
      </c>
      <c r="K342" t="s">
        <v>21</v>
      </c>
      <c r="L342">
        <v>16</v>
      </c>
      <c r="M342" t="s">
        <v>30</v>
      </c>
      <c r="N342" t="s">
        <v>1110</v>
      </c>
    </row>
    <row r="343" spans="1:14" x14ac:dyDescent="0.35">
      <c r="A343" t="s">
        <v>1111</v>
      </c>
      <c r="B343" t="s">
        <v>1112</v>
      </c>
      <c r="C343" s="1">
        <v>45695</v>
      </c>
      <c r="D343" t="s">
        <v>16</v>
      </c>
      <c r="E343" t="s">
        <v>34</v>
      </c>
      <c r="F343" t="s">
        <v>67</v>
      </c>
      <c r="G343" t="s">
        <v>112</v>
      </c>
      <c r="H343">
        <v>2</v>
      </c>
      <c r="I343">
        <v>280000</v>
      </c>
      <c r="J343" t="s">
        <v>83</v>
      </c>
      <c r="K343" t="s">
        <v>41</v>
      </c>
      <c r="L343">
        <v>36</v>
      </c>
      <c r="M343" t="s">
        <v>30</v>
      </c>
      <c r="N343" t="s">
        <v>1113</v>
      </c>
    </row>
    <row r="344" spans="1:14" x14ac:dyDescent="0.35">
      <c r="A344" t="s">
        <v>1114</v>
      </c>
      <c r="B344" t="s">
        <v>1115</v>
      </c>
      <c r="C344" s="1">
        <v>45284</v>
      </c>
      <c r="D344" t="s">
        <v>16</v>
      </c>
      <c r="E344" t="s">
        <v>55</v>
      </c>
      <c r="F344" t="s">
        <v>77</v>
      </c>
      <c r="G344" t="s">
        <v>168</v>
      </c>
      <c r="H344">
        <v>2</v>
      </c>
      <c r="I344">
        <v>200000</v>
      </c>
      <c r="J344" t="s">
        <v>20</v>
      </c>
      <c r="K344" t="s">
        <v>29</v>
      </c>
      <c r="L344">
        <v>33</v>
      </c>
      <c r="M344" t="s">
        <v>22</v>
      </c>
      <c r="N344" t="s">
        <v>1116</v>
      </c>
    </row>
    <row r="345" spans="1:14" x14ac:dyDescent="0.35">
      <c r="A345" t="s">
        <v>1117</v>
      </c>
      <c r="B345" t="s">
        <v>1118</v>
      </c>
      <c r="C345" s="1">
        <v>45683</v>
      </c>
      <c r="D345" t="s">
        <v>72</v>
      </c>
      <c r="E345" t="s">
        <v>17</v>
      </c>
      <c r="F345" t="s">
        <v>252</v>
      </c>
      <c r="G345" t="s">
        <v>253</v>
      </c>
      <c r="H345">
        <v>2</v>
      </c>
      <c r="I345">
        <v>90000</v>
      </c>
      <c r="J345" t="s">
        <v>83</v>
      </c>
      <c r="K345" t="s">
        <v>29</v>
      </c>
      <c r="L345">
        <v>59</v>
      </c>
      <c r="M345" t="s">
        <v>30</v>
      </c>
      <c r="N345" t="s">
        <v>1119</v>
      </c>
    </row>
    <row r="346" spans="1:14" x14ac:dyDescent="0.35">
      <c r="A346" t="s">
        <v>1120</v>
      </c>
      <c r="B346" t="s">
        <v>1121</v>
      </c>
      <c r="C346" s="1">
        <v>45463</v>
      </c>
      <c r="D346" t="s">
        <v>66</v>
      </c>
      <c r="E346" t="s">
        <v>17</v>
      </c>
      <c r="F346" t="s">
        <v>77</v>
      </c>
      <c r="G346" t="s">
        <v>91</v>
      </c>
      <c r="H346">
        <v>5</v>
      </c>
      <c r="I346">
        <v>360000</v>
      </c>
      <c r="J346" t="s">
        <v>83</v>
      </c>
      <c r="K346" t="s">
        <v>21</v>
      </c>
      <c r="L346">
        <v>22</v>
      </c>
      <c r="M346" t="s">
        <v>30</v>
      </c>
      <c r="N346" t="s">
        <v>1122</v>
      </c>
    </row>
    <row r="347" spans="1:14" x14ac:dyDescent="0.35">
      <c r="A347" t="s">
        <v>1123</v>
      </c>
      <c r="B347" t="s">
        <v>1124</v>
      </c>
      <c r="C347" s="1">
        <v>45326</v>
      </c>
      <c r="D347" t="s">
        <v>66</v>
      </c>
      <c r="E347" t="s">
        <v>55</v>
      </c>
      <c r="F347" t="s">
        <v>61</v>
      </c>
      <c r="G347" t="s">
        <v>99</v>
      </c>
      <c r="H347">
        <v>3</v>
      </c>
      <c r="I347">
        <v>180000</v>
      </c>
      <c r="J347" t="s">
        <v>28</v>
      </c>
      <c r="K347" t="s">
        <v>29</v>
      </c>
      <c r="L347">
        <v>34</v>
      </c>
      <c r="M347" t="s">
        <v>22</v>
      </c>
      <c r="N347" t="s">
        <v>1125</v>
      </c>
    </row>
    <row r="348" spans="1:14" x14ac:dyDescent="0.35">
      <c r="A348" t="s">
        <v>1126</v>
      </c>
      <c r="B348" t="s">
        <v>1127</v>
      </c>
      <c r="C348" s="1">
        <v>45055</v>
      </c>
      <c r="D348" t="s">
        <v>16</v>
      </c>
      <c r="E348" t="s">
        <v>55</v>
      </c>
      <c r="F348" t="s">
        <v>56</v>
      </c>
      <c r="G348" t="s">
        <v>152</v>
      </c>
      <c r="H348">
        <v>4</v>
      </c>
      <c r="I348">
        <v>480000</v>
      </c>
      <c r="J348" t="s">
        <v>108</v>
      </c>
      <c r="K348" t="s">
        <v>21</v>
      </c>
      <c r="L348">
        <v>23</v>
      </c>
      <c r="M348" t="s">
        <v>30</v>
      </c>
      <c r="N348" t="s">
        <v>1128</v>
      </c>
    </row>
    <row r="349" spans="1:14" x14ac:dyDescent="0.35">
      <c r="A349" t="s">
        <v>1129</v>
      </c>
      <c r="B349" t="s">
        <v>1130</v>
      </c>
      <c r="C349" s="1">
        <v>45557</v>
      </c>
      <c r="D349" t="s">
        <v>66</v>
      </c>
      <c r="E349" t="s">
        <v>34</v>
      </c>
      <c r="F349" t="s">
        <v>26</v>
      </c>
      <c r="G349" t="s">
        <v>124</v>
      </c>
      <c r="H349">
        <v>2</v>
      </c>
      <c r="I349">
        <v>168000</v>
      </c>
      <c r="J349" t="s">
        <v>46</v>
      </c>
      <c r="K349" t="s">
        <v>41</v>
      </c>
      <c r="L349">
        <v>39</v>
      </c>
      <c r="M349" t="s">
        <v>30</v>
      </c>
      <c r="N349" t="s">
        <v>1131</v>
      </c>
    </row>
    <row r="350" spans="1:14" x14ac:dyDescent="0.35">
      <c r="A350" t="s">
        <v>1132</v>
      </c>
      <c r="B350" t="s">
        <v>1133</v>
      </c>
      <c r="C350" s="1">
        <v>45740</v>
      </c>
      <c r="D350" t="s">
        <v>72</v>
      </c>
      <c r="E350" t="s">
        <v>55</v>
      </c>
      <c r="F350" t="s">
        <v>39</v>
      </c>
      <c r="G350" t="s">
        <v>140</v>
      </c>
      <c r="H350">
        <v>1</v>
      </c>
      <c r="I350">
        <v>63000</v>
      </c>
      <c r="J350" t="s">
        <v>28</v>
      </c>
      <c r="K350" t="s">
        <v>41</v>
      </c>
      <c r="L350">
        <v>23</v>
      </c>
      <c r="M350" t="s">
        <v>30</v>
      </c>
      <c r="N350" t="s">
        <v>1134</v>
      </c>
    </row>
    <row r="351" spans="1:14" x14ac:dyDescent="0.35">
      <c r="A351" t="s">
        <v>1135</v>
      </c>
      <c r="B351" t="s">
        <v>1136</v>
      </c>
      <c r="C351" s="1">
        <v>45067</v>
      </c>
      <c r="D351" t="s">
        <v>66</v>
      </c>
      <c r="E351" t="s">
        <v>34</v>
      </c>
      <c r="F351" t="s">
        <v>77</v>
      </c>
      <c r="G351" t="s">
        <v>91</v>
      </c>
      <c r="H351">
        <v>4</v>
      </c>
      <c r="I351">
        <v>288000</v>
      </c>
      <c r="J351" t="s">
        <v>20</v>
      </c>
      <c r="K351" t="s">
        <v>21</v>
      </c>
      <c r="L351">
        <v>31</v>
      </c>
      <c r="M351" t="s">
        <v>30</v>
      </c>
      <c r="N351" t="s">
        <v>1137</v>
      </c>
    </row>
    <row r="352" spans="1:14" x14ac:dyDescent="0.35">
      <c r="A352" t="s">
        <v>1138</v>
      </c>
      <c r="B352" t="s">
        <v>1139</v>
      </c>
      <c r="C352" s="1">
        <v>45337</v>
      </c>
      <c r="D352" t="s">
        <v>72</v>
      </c>
      <c r="E352" t="s">
        <v>34</v>
      </c>
      <c r="F352" t="s">
        <v>39</v>
      </c>
      <c r="G352" t="s">
        <v>393</v>
      </c>
      <c r="H352">
        <v>4</v>
      </c>
      <c r="I352">
        <v>216000</v>
      </c>
      <c r="J352" t="s">
        <v>46</v>
      </c>
      <c r="K352" t="s">
        <v>21</v>
      </c>
      <c r="L352">
        <v>11</v>
      </c>
      <c r="M352" t="s">
        <v>22</v>
      </c>
      <c r="N352" t="s">
        <v>1140</v>
      </c>
    </row>
    <row r="353" spans="1:14" x14ac:dyDescent="0.35">
      <c r="A353" t="s">
        <v>1141</v>
      </c>
      <c r="B353" t="s">
        <v>1142</v>
      </c>
      <c r="C353" s="1">
        <v>45268</v>
      </c>
      <c r="D353" t="s">
        <v>16</v>
      </c>
      <c r="E353" t="s">
        <v>55</v>
      </c>
      <c r="F353" t="s">
        <v>26</v>
      </c>
      <c r="G353" t="s">
        <v>27</v>
      </c>
      <c r="H353">
        <v>5</v>
      </c>
      <c r="I353">
        <v>500000</v>
      </c>
      <c r="J353" t="s">
        <v>46</v>
      </c>
      <c r="K353" t="s">
        <v>29</v>
      </c>
      <c r="L353">
        <v>21</v>
      </c>
      <c r="M353" t="s">
        <v>30</v>
      </c>
      <c r="N353" t="s">
        <v>1143</v>
      </c>
    </row>
    <row r="354" spans="1:14" x14ac:dyDescent="0.35">
      <c r="A354" t="s">
        <v>1144</v>
      </c>
      <c r="B354" t="s">
        <v>1145</v>
      </c>
      <c r="C354" s="1">
        <v>45715</v>
      </c>
      <c r="D354" t="s">
        <v>66</v>
      </c>
      <c r="E354" t="s">
        <v>17</v>
      </c>
      <c r="F354" t="s">
        <v>56</v>
      </c>
      <c r="G354" t="s">
        <v>152</v>
      </c>
      <c r="H354">
        <v>2</v>
      </c>
      <c r="I354">
        <v>144000</v>
      </c>
      <c r="J354" t="s">
        <v>83</v>
      </c>
      <c r="K354" t="s">
        <v>21</v>
      </c>
      <c r="L354">
        <v>25</v>
      </c>
      <c r="M354" t="s">
        <v>30</v>
      </c>
      <c r="N354" t="s">
        <v>1146</v>
      </c>
    </row>
    <row r="355" spans="1:14" x14ac:dyDescent="0.35">
      <c r="A355" t="s">
        <v>1147</v>
      </c>
      <c r="B355" t="s">
        <v>1148</v>
      </c>
      <c r="C355" s="1">
        <v>45236</v>
      </c>
      <c r="D355" t="s">
        <v>16</v>
      </c>
      <c r="E355" t="s">
        <v>55</v>
      </c>
      <c r="F355" t="s">
        <v>252</v>
      </c>
      <c r="G355" t="s">
        <v>307</v>
      </c>
      <c r="H355">
        <v>1</v>
      </c>
      <c r="I355">
        <v>140000</v>
      </c>
      <c r="J355" t="s">
        <v>28</v>
      </c>
      <c r="K355" t="s">
        <v>41</v>
      </c>
      <c r="L355">
        <v>7</v>
      </c>
      <c r="M355" t="s">
        <v>30</v>
      </c>
      <c r="N355" t="s">
        <v>1149</v>
      </c>
    </row>
    <row r="356" spans="1:14" x14ac:dyDescent="0.35">
      <c r="A356" t="s">
        <v>1150</v>
      </c>
      <c r="B356" t="s">
        <v>1151</v>
      </c>
      <c r="C356" s="1">
        <v>45636</v>
      </c>
      <c r="D356" t="s">
        <v>45</v>
      </c>
      <c r="E356" t="s">
        <v>17</v>
      </c>
      <c r="F356" t="s">
        <v>56</v>
      </c>
      <c r="G356" t="s">
        <v>144</v>
      </c>
      <c r="H356">
        <v>2</v>
      </c>
      <c r="I356">
        <v>252000</v>
      </c>
      <c r="J356" t="s">
        <v>28</v>
      </c>
      <c r="K356" t="s">
        <v>41</v>
      </c>
      <c r="L356">
        <v>42</v>
      </c>
      <c r="M356" t="s">
        <v>22</v>
      </c>
      <c r="N356" t="s">
        <v>1152</v>
      </c>
    </row>
    <row r="357" spans="1:14" x14ac:dyDescent="0.35">
      <c r="A357" t="s">
        <v>1153</v>
      </c>
      <c r="B357" t="s">
        <v>1154</v>
      </c>
      <c r="C357" s="1">
        <v>45668</v>
      </c>
      <c r="D357" t="s">
        <v>45</v>
      </c>
      <c r="E357" t="s">
        <v>34</v>
      </c>
      <c r="F357" t="s">
        <v>26</v>
      </c>
      <c r="G357" t="s">
        <v>87</v>
      </c>
      <c r="H357">
        <v>2</v>
      </c>
      <c r="I357">
        <v>216000</v>
      </c>
      <c r="J357" t="s">
        <v>108</v>
      </c>
      <c r="K357" t="s">
        <v>21</v>
      </c>
      <c r="L357">
        <v>38</v>
      </c>
      <c r="M357" t="s">
        <v>30</v>
      </c>
      <c r="N357" t="s">
        <v>1155</v>
      </c>
    </row>
    <row r="358" spans="1:14" x14ac:dyDescent="0.35">
      <c r="A358" t="s">
        <v>1156</v>
      </c>
      <c r="B358" t="s">
        <v>1157</v>
      </c>
      <c r="C358" s="1">
        <v>45760</v>
      </c>
      <c r="D358" t="s">
        <v>16</v>
      </c>
      <c r="E358" t="s">
        <v>55</v>
      </c>
      <c r="F358" t="s">
        <v>252</v>
      </c>
      <c r="G358" t="s">
        <v>504</v>
      </c>
      <c r="H358">
        <v>2</v>
      </c>
      <c r="I358">
        <v>240000</v>
      </c>
      <c r="J358" t="s">
        <v>20</v>
      </c>
      <c r="K358" t="s">
        <v>21</v>
      </c>
      <c r="L358">
        <v>11</v>
      </c>
      <c r="M358" t="s">
        <v>30</v>
      </c>
      <c r="N358" t="s">
        <v>1158</v>
      </c>
    </row>
    <row r="359" spans="1:14" x14ac:dyDescent="0.35">
      <c r="A359" t="s">
        <v>1159</v>
      </c>
      <c r="B359" t="s">
        <v>1160</v>
      </c>
      <c r="C359" s="1">
        <v>45122</v>
      </c>
      <c r="D359" t="s">
        <v>72</v>
      </c>
      <c r="E359" t="s">
        <v>55</v>
      </c>
      <c r="F359" t="s">
        <v>77</v>
      </c>
      <c r="G359" t="s">
        <v>78</v>
      </c>
      <c r="H359">
        <v>5</v>
      </c>
      <c r="I359">
        <v>270000</v>
      </c>
      <c r="J359" t="s">
        <v>46</v>
      </c>
      <c r="K359" t="s">
        <v>21</v>
      </c>
      <c r="L359">
        <v>37</v>
      </c>
      <c r="M359" t="s">
        <v>22</v>
      </c>
      <c r="N359" t="s">
        <v>1161</v>
      </c>
    </row>
    <row r="360" spans="1:14" x14ac:dyDescent="0.35">
      <c r="A360" t="s">
        <v>1162</v>
      </c>
      <c r="B360" t="s">
        <v>1163</v>
      </c>
      <c r="C360" s="1">
        <v>45622</v>
      </c>
      <c r="D360" t="s">
        <v>66</v>
      </c>
      <c r="E360" t="s">
        <v>55</v>
      </c>
      <c r="F360" t="s">
        <v>39</v>
      </c>
      <c r="G360" t="s">
        <v>393</v>
      </c>
      <c r="H360">
        <v>4</v>
      </c>
      <c r="I360">
        <v>240000</v>
      </c>
      <c r="J360" t="s">
        <v>83</v>
      </c>
      <c r="K360" t="s">
        <v>29</v>
      </c>
      <c r="L360">
        <v>53</v>
      </c>
      <c r="M360" t="s">
        <v>22</v>
      </c>
      <c r="N360" t="s">
        <v>1164</v>
      </c>
    </row>
    <row r="361" spans="1:14" x14ac:dyDescent="0.35">
      <c r="A361" t="s">
        <v>1165</v>
      </c>
      <c r="B361" t="s">
        <v>1166</v>
      </c>
      <c r="C361" s="1">
        <v>45327</v>
      </c>
      <c r="D361" t="s">
        <v>66</v>
      </c>
      <c r="E361" t="s">
        <v>17</v>
      </c>
      <c r="F361" t="s">
        <v>163</v>
      </c>
      <c r="G361" t="s">
        <v>201</v>
      </c>
      <c r="H361">
        <v>5</v>
      </c>
      <c r="I361">
        <v>300000</v>
      </c>
      <c r="J361" t="s">
        <v>83</v>
      </c>
      <c r="K361" t="s">
        <v>29</v>
      </c>
      <c r="L361">
        <v>50</v>
      </c>
      <c r="M361" t="s">
        <v>22</v>
      </c>
      <c r="N361" t="s">
        <v>1167</v>
      </c>
    </row>
    <row r="362" spans="1:14" x14ac:dyDescent="0.35">
      <c r="A362" t="s">
        <v>1168</v>
      </c>
      <c r="B362" t="s">
        <v>1169</v>
      </c>
      <c r="C362" s="1">
        <v>45656</v>
      </c>
      <c r="D362" t="s">
        <v>45</v>
      </c>
      <c r="E362" t="s">
        <v>34</v>
      </c>
      <c r="F362" t="s">
        <v>77</v>
      </c>
      <c r="G362" t="s">
        <v>78</v>
      </c>
      <c r="H362">
        <v>3</v>
      </c>
      <c r="I362">
        <v>270000</v>
      </c>
      <c r="J362" t="s">
        <v>46</v>
      </c>
      <c r="K362" t="s">
        <v>29</v>
      </c>
      <c r="L362">
        <v>39</v>
      </c>
      <c r="M362" t="s">
        <v>30</v>
      </c>
      <c r="N362" t="s">
        <v>1170</v>
      </c>
    </row>
    <row r="363" spans="1:14" x14ac:dyDescent="0.35">
      <c r="A363" t="s">
        <v>1171</v>
      </c>
      <c r="B363" t="s">
        <v>1172</v>
      </c>
      <c r="C363" s="1">
        <v>45680</v>
      </c>
      <c r="D363" t="s">
        <v>66</v>
      </c>
      <c r="E363" t="s">
        <v>34</v>
      </c>
      <c r="F363" t="s">
        <v>56</v>
      </c>
      <c r="G363" t="s">
        <v>152</v>
      </c>
      <c r="H363">
        <v>1</v>
      </c>
      <c r="I363">
        <v>72000</v>
      </c>
      <c r="J363" t="s">
        <v>108</v>
      </c>
      <c r="K363" t="s">
        <v>21</v>
      </c>
      <c r="L363">
        <v>40</v>
      </c>
      <c r="M363" t="s">
        <v>30</v>
      </c>
      <c r="N363" t="s">
        <v>1173</v>
      </c>
    </row>
    <row r="364" spans="1:14" x14ac:dyDescent="0.35">
      <c r="A364" t="s">
        <v>1174</v>
      </c>
      <c r="B364" t="s">
        <v>1175</v>
      </c>
      <c r="C364" s="1">
        <v>45074</v>
      </c>
      <c r="D364" t="s">
        <v>16</v>
      </c>
      <c r="E364" t="s">
        <v>17</v>
      </c>
      <c r="F364" t="s">
        <v>61</v>
      </c>
      <c r="G364" t="s">
        <v>99</v>
      </c>
      <c r="H364">
        <v>4</v>
      </c>
      <c r="I364">
        <v>480000</v>
      </c>
      <c r="J364" t="s">
        <v>83</v>
      </c>
      <c r="K364" t="s">
        <v>21</v>
      </c>
      <c r="L364">
        <v>28</v>
      </c>
      <c r="M364" t="s">
        <v>22</v>
      </c>
      <c r="N364" t="s">
        <v>1176</v>
      </c>
    </row>
    <row r="365" spans="1:14" x14ac:dyDescent="0.35">
      <c r="A365" t="s">
        <v>1177</v>
      </c>
      <c r="B365" t="s">
        <v>1178</v>
      </c>
      <c r="C365" s="1">
        <v>45410</v>
      </c>
      <c r="D365" t="s">
        <v>16</v>
      </c>
      <c r="E365" t="s">
        <v>55</v>
      </c>
      <c r="F365" t="s">
        <v>26</v>
      </c>
      <c r="G365" t="s">
        <v>87</v>
      </c>
      <c r="H365">
        <v>3</v>
      </c>
      <c r="I365">
        <v>300000</v>
      </c>
      <c r="J365" t="s">
        <v>20</v>
      </c>
      <c r="K365" t="s">
        <v>29</v>
      </c>
      <c r="L365">
        <v>56</v>
      </c>
      <c r="M365" t="s">
        <v>30</v>
      </c>
      <c r="N365" t="s">
        <v>1179</v>
      </c>
    </row>
    <row r="366" spans="1:14" x14ac:dyDescent="0.35">
      <c r="A366" t="s">
        <v>1180</v>
      </c>
      <c r="B366" t="s">
        <v>1181</v>
      </c>
      <c r="C366" s="1">
        <v>45061</v>
      </c>
      <c r="D366" t="s">
        <v>45</v>
      </c>
      <c r="E366" t="s">
        <v>34</v>
      </c>
      <c r="F366" t="s">
        <v>61</v>
      </c>
      <c r="G366" t="s">
        <v>156</v>
      </c>
      <c r="H366">
        <v>4</v>
      </c>
      <c r="I366">
        <v>504000</v>
      </c>
      <c r="J366" t="s">
        <v>20</v>
      </c>
      <c r="K366" t="s">
        <v>41</v>
      </c>
      <c r="L366">
        <v>50</v>
      </c>
      <c r="M366" t="s">
        <v>30</v>
      </c>
      <c r="N366" t="s">
        <v>1182</v>
      </c>
    </row>
    <row r="367" spans="1:14" x14ac:dyDescent="0.35">
      <c r="A367" t="s">
        <v>1183</v>
      </c>
      <c r="B367" t="s">
        <v>1184</v>
      </c>
      <c r="C367" s="1">
        <v>45701</v>
      </c>
      <c r="D367" t="s">
        <v>45</v>
      </c>
      <c r="E367" t="s">
        <v>17</v>
      </c>
      <c r="F367" t="s">
        <v>252</v>
      </c>
      <c r="G367" t="s">
        <v>257</v>
      </c>
      <c r="H367">
        <v>3</v>
      </c>
      <c r="I367">
        <v>324000</v>
      </c>
      <c r="J367" t="s">
        <v>83</v>
      </c>
      <c r="K367" t="s">
        <v>21</v>
      </c>
      <c r="L367">
        <v>6</v>
      </c>
      <c r="M367" t="s">
        <v>30</v>
      </c>
      <c r="N367" t="s">
        <v>1185</v>
      </c>
    </row>
    <row r="368" spans="1:14" x14ac:dyDescent="0.35">
      <c r="A368" t="s">
        <v>1186</v>
      </c>
      <c r="B368" t="s">
        <v>1187</v>
      </c>
      <c r="C368" s="1">
        <v>45213</v>
      </c>
      <c r="D368" t="s">
        <v>16</v>
      </c>
      <c r="E368" t="s">
        <v>55</v>
      </c>
      <c r="F368" t="s">
        <v>77</v>
      </c>
      <c r="G368" t="s">
        <v>136</v>
      </c>
      <c r="H368">
        <v>4</v>
      </c>
      <c r="I368">
        <v>480000</v>
      </c>
      <c r="J368" t="s">
        <v>83</v>
      </c>
      <c r="K368" t="s">
        <v>21</v>
      </c>
      <c r="L368">
        <v>8</v>
      </c>
      <c r="M368" t="s">
        <v>30</v>
      </c>
      <c r="N368" t="s">
        <v>1188</v>
      </c>
    </row>
    <row r="369" spans="1:14" x14ac:dyDescent="0.35">
      <c r="A369" t="s">
        <v>1189</v>
      </c>
      <c r="B369" t="s">
        <v>1190</v>
      </c>
      <c r="C369" s="1">
        <v>45537</v>
      </c>
      <c r="D369" t="s">
        <v>72</v>
      </c>
      <c r="E369" t="s">
        <v>17</v>
      </c>
      <c r="F369" t="s">
        <v>67</v>
      </c>
      <c r="G369" t="s">
        <v>128</v>
      </c>
      <c r="H369">
        <v>3</v>
      </c>
      <c r="I369">
        <v>189000</v>
      </c>
      <c r="J369" t="s">
        <v>28</v>
      </c>
      <c r="K369" t="s">
        <v>41</v>
      </c>
      <c r="L369">
        <v>22</v>
      </c>
      <c r="M369" t="s">
        <v>22</v>
      </c>
      <c r="N369" t="s">
        <v>1191</v>
      </c>
    </row>
    <row r="370" spans="1:14" x14ac:dyDescent="0.35">
      <c r="A370" t="s">
        <v>1192</v>
      </c>
      <c r="B370" t="s">
        <v>1193</v>
      </c>
      <c r="C370" s="1">
        <v>45141</v>
      </c>
      <c r="D370" t="s">
        <v>16</v>
      </c>
      <c r="E370" t="s">
        <v>17</v>
      </c>
      <c r="F370" t="s">
        <v>50</v>
      </c>
      <c r="G370" t="s">
        <v>148</v>
      </c>
      <c r="H370">
        <v>3</v>
      </c>
      <c r="I370">
        <v>360000</v>
      </c>
      <c r="J370" t="s">
        <v>83</v>
      </c>
      <c r="K370" t="s">
        <v>21</v>
      </c>
      <c r="L370">
        <v>50</v>
      </c>
      <c r="M370" t="s">
        <v>22</v>
      </c>
      <c r="N370" t="s">
        <v>1194</v>
      </c>
    </row>
    <row r="371" spans="1:14" x14ac:dyDescent="0.35">
      <c r="A371" t="s">
        <v>1195</v>
      </c>
      <c r="B371" t="s">
        <v>1196</v>
      </c>
      <c r="C371" s="1">
        <v>45642</v>
      </c>
      <c r="D371" t="s">
        <v>66</v>
      </c>
      <c r="E371" t="s">
        <v>34</v>
      </c>
      <c r="F371" t="s">
        <v>163</v>
      </c>
      <c r="G371" t="s">
        <v>214</v>
      </c>
      <c r="H371">
        <v>2</v>
      </c>
      <c r="I371">
        <v>120000</v>
      </c>
      <c r="J371" t="s">
        <v>28</v>
      </c>
      <c r="K371" t="s">
        <v>29</v>
      </c>
      <c r="L371">
        <v>53</v>
      </c>
      <c r="M371" t="s">
        <v>22</v>
      </c>
      <c r="N371" t="s">
        <v>1197</v>
      </c>
    </row>
    <row r="372" spans="1:14" x14ac:dyDescent="0.35">
      <c r="A372" t="s">
        <v>1198</v>
      </c>
      <c r="B372" t="s">
        <v>1199</v>
      </c>
      <c r="C372" s="1">
        <v>45298</v>
      </c>
      <c r="D372" t="s">
        <v>66</v>
      </c>
      <c r="E372" t="s">
        <v>17</v>
      </c>
      <c r="F372" t="s">
        <v>26</v>
      </c>
      <c r="G372" t="s">
        <v>35</v>
      </c>
      <c r="H372">
        <v>4</v>
      </c>
      <c r="I372">
        <v>240000</v>
      </c>
      <c r="J372" t="s">
        <v>108</v>
      </c>
      <c r="K372" t="s">
        <v>29</v>
      </c>
      <c r="L372">
        <v>24</v>
      </c>
      <c r="M372" t="s">
        <v>30</v>
      </c>
      <c r="N372" t="s">
        <v>1200</v>
      </c>
    </row>
    <row r="373" spans="1:14" x14ac:dyDescent="0.35">
      <c r="A373" t="s">
        <v>1201</v>
      </c>
      <c r="B373" t="s">
        <v>1202</v>
      </c>
      <c r="C373" s="1">
        <v>45726</v>
      </c>
      <c r="D373" t="s">
        <v>72</v>
      </c>
      <c r="E373" t="s">
        <v>55</v>
      </c>
      <c r="F373" t="s">
        <v>163</v>
      </c>
      <c r="G373" t="s">
        <v>164</v>
      </c>
      <c r="H373">
        <v>2</v>
      </c>
      <c r="I373">
        <v>90000</v>
      </c>
      <c r="J373" t="s">
        <v>28</v>
      </c>
      <c r="K373" t="s">
        <v>29</v>
      </c>
      <c r="L373">
        <v>45</v>
      </c>
      <c r="M373" t="s">
        <v>30</v>
      </c>
      <c r="N373" t="s">
        <v>1203</v>
      </c>
    </row>
    <row r="374" spans="1:14" x14ac:dyDescent="0.35">
      <c r="A374" t="s">
        <v>1204</v>
      </c>
      <c r="B374" t="s">
        <v>1205</v>
      </c>
      <c r="C374" s="1">
        <v>45357</v>
      </c>
      <c r="D374" t="s">
        <v>16</v>
      </c>
      <c r="E374" t="s">
        <v>34</v>
      </c>
      <c r="F374" t="s">
        <v>252</v>
      </c>
      <c r="G374" t="s">
        <v>257</v>
      </c>
      <c r="H374">
        <v>2</v>
      </c>
      <c r="I374">
        <v>280000</v>
      </c>
      <c r="J374" t="s">
        <v>108</v>
      </c>
      <c r="K374" t="s">
        <v>41</v>
      </c>
      <c r="L374">
        <v>15</v>
      </c>
      <c r="M374" t="s">
        <v>30</v>
      </c>
      <c r="N374" t="s">
        <v>1206</v>
      </c>
    </row>
    <row r="375" spans="1:14" x14ac:dyDescent="0.35">
      <c r="A375" t="s">
        <v>1207</v>
      </c>
      <c r="B375" t="s">
        <v>1208</v>
      </c>
      <c r="C375" s="1">
        <v>45640</v>
      </c>
      <c r="D375" t="s">
        <v>16</v>
      </c>
      <c r="E375" t="s">
        <v>55</v>
      </c>
      <c r="F375" t="s">
        <v>50</v>
      </c>
      <c r="G375" t="s">
        <v>148</v>
      </c>
      <c r="H375">
        <v>1</v>
      </c>
      <c r="I375">
        <v>100000</v>
      </c>
      <c r="J375" t="s">
        <v>46</v>
      </c>
      <c r="K375" t="s">
        <v>29</v>
      </c>
      <c r="L375">
        <v>12</v>
      </c>
      <c r="M375" t="s">
        <v>30</v>
      </c>
      <c r="N375" t="s">
        <v>1209</v>
      </c>
    </row>
    <row r="376" spans="1:14" x14ac:dyDescent="0.35">
      <c r="A376" t="s">
        <v>1210</v>
      </c>
      <c r="B376" t="s">
        <v>1211</v>
      </c>
      <c r="C376" s="1">
        <v>45685</v>
      </c>
      <c r="D376" t="s">
        <v>45</v>
      </c>
      <c r="E376" t="s">
        <v>55</v>
      </c>
      <c r="F376" t="s">
        <v>163</v>
      </c>
      <c r="G376" t="s">
        <v>282</v>
      </c>
      <c r="H376">
        <v>1</v>
      </c>
      <c r="I376">
        <v>90000</v>
      </c>
      <c r="J376" t="s">
        <v>108</v>
      </c>
      <c r="K376" t="s">
        <v>29</v>
      </c>
      <c r="L376">
        <v>33</v>
      </c>
      <c r="M376" t="s">
        <v>22</v>
      </c>
      <c r="N376" t="s">
        <v>1212</v>
      </c>
    </row>
    <row r="377" spans="1:14" x14ac:dyDescent="0.35">
      <c r="A377" t="s">
        <v>1213</v>
      </c>
      <c r="B377" t="s">
        <v>1214</v>
      </c>
      <c r="C377" s="1">
        <v>45271</v>
      </c>
      <c r="D377" t="s">
        <v>72</v>
      </c>
      <c r="E377" t="s">
        <v>55</v>
      </c>
      <c r="F377" t="s">
        <v>163</v>
      </c>
      <c r="G377" t="s">
        <v>536</v>
      </c>
      <c r="H377">
        <v>3</v>
      </c>
      <c r="I377">
        <v>162000</v>
      </c>
      <c r="J377" t="s">
        <v>46</v>
      </c>
      <c r="K377" t="s">
        <v>21</v>
      </c>
      <c r="L377">
        <v>14</v>
      </c>
      <c r="M377" t="s">
        <v>22</v>
      </c>
      <c r="N377" t="s">
        <v>1215</v>
      </c>
    </row>
    <row r="378" spans="1:14" x14ac:dyDescent="0.35">
      <c r="A378" t="s">
        <v>1216</v>
      </c>
      <c r="B378" t="s">
        <v>1217</v>
      </c>
      <c r="C378" s="1">
        <v>45164</v>
      </c>
      <c r="D378" t="s">
        <v>72</v>
      </c>
      <c r="E378" t="s">
        <v>55</v>
      </c>
      <c r="F378" t="s">
        <v>39</v>
      </c>
      <c r="G378" t="s">
        <v>40</v>
      </c>
      <c r="H378">
        <v>2</v>
      </c>
      <c r="I378">
        <v>126000</v>
      </c>
      <c r="J378" t="s">
        <v>108</v>
      </c>
      <c r="K378" t="s">
        <v>41</v>
      </c>
      <c r="L378">
        <v>34</v>
      </c>
      <c r="M378" t="s">
        <v>22</v>
      </c>
      <c r="N378" t="s">
        <v>1218</v>
      </c>
    </row>
    <row r="379" spans="1:14" x14ac:dyDescent="0.35">
      <c r="A379" t="s">
        <v>1219</v>
      </c>
      <c r="B379" t="s">
        <v>1220</v>
      </c>
      <c r="C379" s="1">
        <v>45746</v>
      </c>
      <c r="D379" t="s">
        <v>16</v>
      </c>
      <c r="E379" t="s">
        <v>34</v>
      </c>
      <c r="F379" t="s">
        <v>26</v>
      </c>
      <c r="G379" t="s">
        <v>221</v>
      </c>
      <c r="H379">
        <v>3</v>
      </c>
      <c r="I379">
        <v>420000</v>
      </c>
      <c r="J379" t="s">
        <v>108</v>
      </c>
      <c r="K379" t="s">
        <v>41</v>
      </c>
      <c r="L379">
        <v>54</v>
      </c>
      <c r="M379" t="s">
        <v>30</v>
      </c>
      <c r="N379" t="s">
        <v>1221</v>
      </c>
    </row>
    <row r="380" spans="1:14" x14ac:dyDescent="0.35">
      <c r="A380" t="s">
        <v>1222</v>
      </c>
      <c r="B380" t="s">
        <v>1223</v>
      </c>
      <c r="C380" s="1">
        <v>45575</v>
      </c>
      <c r="D380" t="s">
        <v>72</v>
      </c>
      <c r="E380" t="s">
        <v>55</v>
      </c>
      <c r="F380" t="s">
        <v>26</v>
      </c>
      <c r="G380" t="s">
        <v>221</v>
      </c>
      <c r="H380">
        <v>1</v>
      </c>
      <c r="I380">
        <v>54000</v>
      </c>
      <c r="J380" t="s">
        <v>46</v>
      </c>
      <c r="K380" t="s">
        <v>21</v>
      </c>
      <c r="L380">
        <v>55</v>
      </c>
      <c r="M380" t="s">
        <v>22</v>
      </c>
      <c r="N380" t="s">
        <v>1224</v>
      </c>
    </row>
    <row r="381" spans="1:14" x14ac:dyDescent="0.35">
      <c r="A381" t="s">
        <v>1225</v>
      </c>
      <c r="B381" t="s">
        <v>1226</v>
      </c>
      <c r="C381" s="1">
        <v>45644</v>
      </c>
      <c r="D381" t="s">
        <v>66</v>
      </c>
      <c r="E381" t="s">
        <v>34</v>
      </c>
      <c r="F381" t="s">
        <v>56</v>
      </c>
      <c r="G381" t="s">
        <v>508</v>
      </c>
      <c r="H381">
        <v>2</v>
      </c>
      <c r="I381">
        <v>168000</v>
      </c>
      <c r="J381" t="s">
        <v>28</v>
      </c>
      <c r="K381" t="s">
        <v>41</v>
      </c>
      <c r="L381">
        <v>21</v>
      </c>
      <c r="M381" t="s">
        <v>30</v>
      </c>
      <c r="N381" t="s">
        <v>1227</v>
      </c>
    </row>
    <row r="382" spans="1:14" x14ac:dyDescent="0.35">
      <c r="A382" t="s">
        <v>1228</v>
      </c>
      <c r="B382" t="s">
        <v>1229</v>
      </c>
      <c r="C382" s="1">
        <v>45313</v>
      </c>
      <c r="D382" t="s">
        <v>45</v>
      </c>
      <c r="E382" t="s">
        <v>55</v>
      </c>
      <c r="F382" t="s">
        <v>252</v>
      </c>
      <c r="G382" t="s">
        <v>504</v>
      </c>
      <c r="H382">
        <v>3</v>
      </c>
      <c r="I382">
        <v>324000</v>
      </c>
      <c r="J382" t="s">
        <v>83</v>
      </c>
      <c r="K382" t="s">
        <v>21</v>
      </c>
      <c r="L382">
        <v>22</v>
      </c>
      <c r="M382" t="s">
        <v>30</v>
      </c>
      <c r="N382" t="s">
        <v>1230</v>
      </c>
    </row>
    <row r="383" spans="1:14" x14ac:dyDescent="0.35">
      <c r="A383" t="s">
        <v>1231</v>
      </c>
      <c r="B383" t="s">
        <v>1232</v>
      </c>
      <c r="C383" s="1">
        <v>45590</v>
      </c>
      <c r="D383" t="s">
        <v>45</v>
      </c>
      <c r="E383" t="s">
        <v>17</v>
      </c>
      <c r="F383" t="s">
        <v>252</v>
      </c>
      <c r="G383" t="s">
        <v>307</v>
      </c>
      <c r="H383">
        <v>1</v>
      </c>
      <c r="I383">
        <v>126000</v>
      </c>
      <c r="J383" t="s">
        <v>83</v>
      </c>
      <c r="K383" t="s">
        <v>41</v>
      </c>
      <c r="L383">
        <v>29</v>
      </c>
      <c r="M383" t="s">
        <v>30</v>
      </c>
      <c r="N383" t="s">
        <v>1233</v>
      </c>
    </row>
    <row r="384" spans="1:14" x14ac:dyDescent="0.35">
      <c r="A384" t="s">
        <v>1234</v>
      </c>
      <c r="B384" t="s">
        <v>1235</v>
      </c>
      <c r="C384" s="1">
        <v>45773</v>
      </c>
      <c r="D384" t="s">
        <v>72</v>
      </c>
      <c r="E384" t="s">
        <v>17</v>
      </c>
      <c r="F384" t="s">
        <v>61</v>
      </c>
      <c r="G384" t="s">
        <v>156</v>
      </c>
      <c r="H384">
        <v>5</v>
      </c>
      <c r="I384">
        <v>270000</v>
      </c>
      <c r="J384" t="s">
        <v>83</v>
      </c>
      <c r="K384" t="s">
        <v>21</v>
      </c>
      <c r="L384">
        <v>8</v>
      </c>
      <c r="M384" t="s">
        <v>30</v>
      </c>
      <c r="N384" t="s">
        <v>1236</v>
      </c>
    </row>
    <row r="385" spans="1:14" x14ac:dyDescent="0.35">
      <c r="A385" t="s">
        <v>1237</v>
      </c>
      <c r="B385" t="s">
        <v>1238</v>
      </c>
      <c r="C385" s="1">
        <v>45621</v>
      </c>
      <c r="D385" t="s">
        <v>45</v>
      </c>
      <c r="E385" t="s">
        <v>55</v>
      </c>
      <c r="F385" t="s">
        <v>50</v>
      </c>
      <c r="G385" t="s">
        <v>51</v>
      </c>
      <c r="H385">
        <v>5</v>
      </c>
      <c r="I385">
        <v>630000</v>
      </c>
      <c r="J385" t="s">
        <v>83</v>
      </c>
      <c r="K385" t="s">
        <v>41</v>
      </c>
      <c r="L385">
        <v>59</v>
      </c>
      <c r="M385" t="s">
        <v>22</v>
      </c>
      <c r="N385" t="s">
        <v>1239</v>
      </c>
    </row>
    <row r="386" spans="1:14" x14ac:dyDescent="0.35">
      <c r="A386" t="s">
        <v>1240</v>
      </c>
      <c r="B386" t="s">
        <v>1241</v>
      </c>
      <c r="C386" s="1">
        <v>45251</v>
      </c>
      <c r="D386" t="s">
        <v>72</v>
      </c>
      <c r="E386" t="s">
        <v>34</v>
      </c>
      <c r="F386" t="s">
        <v>18</v>
      </c>
      <c r="G386" t="s">
        <v>181</v>
      </c>
      <c r="H386">
        <v>4</v>
      </c>
      <c r="I386">
        <v>216000</v>
      </c>
      <c r="J386" t="s">
        <v>83</v>
      </c>
      <c r="K386" t="s">
        <v>21</v>
      </c>
      <c r="L386">
        <v>29</v>
      </c>
      <c r="M386" t="s">
        <v>30</v>
      </c>
      <c r="N386" t="s">
        <v>1242</v>
      </c>
    </row>
    <row r="387" spans="1:14" x14ac:dyDescent="0.35">
      <c r="A387" t="s">
        <v>1243</v>
      </c>
      <c r="B387" t="s">
        <v>1244</v>
      </c>
      <c r="C387" s="1">
        <v>45114</v>
      </c>
      <c r="D387" t="s">
        <v>72</v>
      </c>
      <c r="E387" t="s">
        <v>55</v>
      </c>
      <c r="F387" t="s">
        <v>26</v>
      </c>
      <c r="G387" t="s">
        <v>87</v>
      </c>
      <c r="H387">
        <v>3</v>
      </c>
      <c r="I387">
        <v>135000</v>
      </c>
      <c r="J387" t="s">
        <v>20</v>
      </c>
      <c r="K387" t="s">
        <v>29</v>
      </c>
      <c r="L387">
        <v>44</v>
      </c>
      <c r="M387" t="s">
        <v>30</v>
      </c>
      <c r="N387" t="s">
        <v>1245</v>
      </c>
    </row>
    <row r="388" spans="1:14" x14ac:dyDescent="0.35">
      <c r="A388" t="s">
        <v>1246</v>
      </c>
      <c r="B388" t="s">
        <v>1247</v>
      </c>
      <c r="C388" s="1">
        <v>45271</v>
      </c>
      <c r="D388" t="s">
        <v>66</v>
      </c>
      <c r="E388" t="s">
        <v>17</v>
      </c>
      <c r="F388" t="s">
        <v>61</v>
      </c>
      <c r="G388" t="s">
        <v>290</v>
      </c>
      <c r="H388">
        <v>4</v>
      </c>
      <c r="I388">
        <v>240000</v>
      </c>
      <c r="J388" t="s">
        <v>108</v>
      </c>
      <c r="K388" t="s">
        <v>29</v>
      </c>
      <c r="L388">
        <v>59</v>
      </c>
      <c r="M388" t="s">
        <v>30</v>
      </c>
      <c r="N388" t="s">
        <v>1248</v>
      </c>
    </row>
    <row r="389" spans="1:14" x14ac:dyDescent="0.35">
      <c r="A389" t="s">
        <v>1249</v>
      </c>
      <c r="B389" t="s">
        <v>1250</v>
      </c>
      <c r="C389" s="1">
        <v>45289</v>
      </c>
      <c r="D389" t="s">
        <v>45</v>
      </c>
      <c r="E389" t="s">
        <v>17</v>
      </c>
      <c r="F389" t="s">
        <v>67</v>
      </c>
      <c r="G389" t="s">
        <v>128</v>
      </c>
      <c r="H389">
        <v>3</v>
      </c>
      <c r="I389">
        <v>270000</v>
      </c>
      <c r="J389" t="s">
        <v>28</v>
      </c>
      <c r="K389" t="s">
        <v>29</v>
      </c>
      <c r="L389">
        <v>51</v>
      </c>
      <c r="M389" t="s">
        <v>30</v>
      </c>
      <c r="N389" t="s">
        <v>1251</v>
      </c>
    </row>
    <row r="390" spans="1:14" x14ac:dyDescent="0.35">
      <c r="A390" t="s">
        <v>1252</v>
      </c>
      <c r="B390" t="s">
        <v>1253</v>
      </c>
      <c r="C390" s="1">
        <v>45423</v>
      </c>
      <c r="D390" t="s">
        <v>16</v>
      </c>
      <c r="E390" t="s">
        <v>17</v>
      </c>
      <c r="F390" t="s">
        <v>67</v>
      </c>
      <c r="G390" t="s">
        <v>112</v>
      </c>
      <c r="H390">
        <v>2</v>
      </c>
      <c r="I390">
        <v>200000</v>
      </c>
      <c r="J390" t="s">
        <v>46</v>
      </c>
      <c r="K390" t="s">
        <v>29</v>
      </c>
      <c r="L390">
        <v>38</v>
      </c>
      <c r="M390" t="s">
        <v>30</v>
      </c>
      <c r="N390" t="s">
        <v>1254</v>
      </c>
    </row>
    <row r="391" spans="1:14" x14ac:dyDescent="0.35">
      <c r="A391" t="s">
        <v>1255</v>
      </c>
      <c r="B391" t="s">
        <v>1256</v>
      </c>
      <c r="C391" s="1">
        <v>45658</v>
      </c>
      <c r="D391" t="s">
        <v>72</v>
      </c>
      <c r="E391" t="s">
        <v>17</v>
      </c>
      <c r="F391" t="s">
        <v>26</v>
      </c>
      <c r="G391" t="s">
        <v>87</v>
      </c>
      <c r="H391">
        <v>3</v>
      </c>
      <c r="I391">
        <v>162000</v>
      </c>
      <c r="J391" t="s">
        <v>28</v>
      </c>
      <c r="K391" t="s">
        <v>21</v>
      </c>
      <c r="L391">
        <v>44</v>
      </c>
      <c r="M391" t="s">
        <v>30</v>
      </c>
      <c r="N391" t="s">
        <v>1257</v>
      </c>
    </row>
    <row r="392" spans="1:14" x14ac:dyDescent="0.35">
      <c r="A392" t="s">
        <v>1258</v>
      </c>
      <c r="B392" t="s">
        <v>1259</v>
      </c>
      <c r="C392" s="1">
        <v>45526</v>
      </c>
      <c r="D392" t="s">
        <v>72</v>
      </c>
      <c r="E392" t="s">
        <v>17</v>
      </c>
      <c r="F392" t="s">
        <v>18</v>
      </c>
      <c r="G392" t="s">
        <v>19</v>
      </c>
      <c r="H392">
        <v>5</v>
      </c>
      <c r="I392">
        <v>315000</v>
      </c>
      <c r="J392" t="s">
        <v>28</v>
      </c>
      <c r="K392" t="s">
        <v>41</v>
      </c>
      <c r="L392">
        <v>36</v>
      </c>
      <c r="M392" t="s">
        <v>30</v>
      </c>
      <c r="N392" t="s">
        <v>1260</v>
      </c>
    </row>
    <row r="393" spans="1:14" x14ac:dyDescent="0.35">
      <c r="A393" t="s">
        <v>1261</v>
      </c>
      <c r="B393" t="s">
        <v>1262</v>
      </c>
      <c r="C393" s="1">
        <v>45234</v>
      </c>
      <c r="D393" t="s">
        <v>16</v>
      </c>
      <c r="E393" t="s">
        <v>17</v>
      </c>
      <c r="F393" t="s">
        <v>163</v>
      </c>
      <c r="G393" t="s">
        <v>214</v>
      </c>
      <c r="H393">
        <v>4</v>
      </c>
      <c r="I393">
        <v>480000</v>
      </c>
      <c r="J393" t="s">
        <v>20</v>
      </c>
      <c r="K393" t="s">
        <v>21</v>
      </c>
      <c r="L393">
        <v>54</v>
      </c>
      <c r="M393" t="s">
        <v>30</v>
      </c>
      <c r="N393" t="s">
        <v>1263</v>
      </c>
    </row>
    <row r="394" spans="1:14" x14ac:dyDescent="0.35">
      <c r="A394" t="s">
        <v>1264</v>
      </c>
      <c r="B394" t="s">
        <v>1265</v>
      </c>
      <c r="C394" s="1">
        <v>45437</v>
      </c>
      <c r="D394" t="s">
        <v>72</v>
      </c>
      <c r="E394" t="s">
        <v>34</v>
      </c>
      <c r="F394" t="s">
        <v>50</v>
      </c>
      <c r="G394" t="s">
        <v>51</v>
      </c>
      <c r="H394">
        <v>1</v>
      </c>
      <c r="I394">
        <v>45000</v>
      </c>
      <c r="J394" t="s">
        <v>20</v>
      </c>
      <c r="K394" t="s">
        <v>29</v>
      </c>
      <c r="L394">
        <v>9</v>
      </c>
      <c r="M394" t="s">
        <v>30</v>
      </c>
      <c r="N394" t="s">
        <v>1266</v>
      </c>
    </row>
    <row r="395" spans="1:14" x14ac:dyDescent="0.35">
      <c r="A395" t="s">
        <v>1267</v>
      </c>
      <c r="B395" t="s">
        <v>1268</v>
      </c>
      <c r="C395" s="1">
        <v>45725</v>
      </c>
      <c r="D395" t="s">
        <v>45</v>
      </c>
      <c r="E395" t="s">
        <v>17</v>
      </c>
      <c r="F395" t="s">
        <v>56</v>
      </c>
      <c r="G395" t="s">
        <v>57</v>
      </c>
      <c r="H395">
        <v>2</v>
      </c>
      <c r="I395">
        <v>252000</v>
      </c>
      <c r="J395" t="s">
        <v>83</v>
      </c>
      <c r="K395" t="s">
        <v>41</v>
      </c>
      <c r="L395">
        <v>6</v>
      </c>
      <c r="M395" t="s">
        <v>22</v>
      </c>
      <c r="N395" t="s">
        <v>1269</v>
      </c>
    </row>
    <row r="396" spans="1:14" x14ac:dyDescent="0.35">
      <c r="A396" t="s">
        <v>1270</v>
      </c>
      <c r="B396" t="s">
        <v>1271</v>
      </c>
      <c r="C396" s="1">
        <v>45582</v>
      </c>
      <c r="D396" t="s">
        <v>45</v>
      </c>
      <c r="E396" t="s">
        <v>34</v>
      </c>
      <c r="F396" t="s">
        <v>50</v>
      </c>
      <c r="G396" t="s">
        <v>73</v>
      </c>
      <c r="H396">
        <v>1</v>
      </c>
      <c r="I396">
        <v>108000</v>
      </c>
      <c r="J396" t="s">
        <v>28</v>
      </c>
      <c r="K396" t="s">
        <v>21</v>
      </c>
      <c r="L396">
        <v>23</v>
      </c>
      <c r="M396" t="s">
        <v>22</v>
      </c>
      <c r="N396" t="s">
        <v>1272</v>
      </c>
    </row>
    <row r="397" spans="1:14" x14ac:dyDescent="0.35">
      <c r="A397" t="s">
        <v>1273</v>
      </c>
      <c r="B397" t="s">
        <v>1274</v>
      </c>
      <c r="C397" s="1">
        <v>45553</v>
      </c>
      <c r="D397" t="s">
        <v>66</v>
      </c>
      <c r="E397" t="s">
        <v>17</v>
      </c>
      <c r="F397" t="s">
        <v>67</v>
      </c>
      <c r="G397" t="s">
        <v>128</v>
      </c>
      <c r="H397">
        <v>2</v>
      </c>
      <c r="I397">
        <v>120000</v>
      </c>
      <c r="J397" t="s">
        <v>28</v>
      </c>
      <c r="K397" t="s">
        <v>29</v>
      </c>
      <c r="L397">
        <v>24</v>
      </c>
      <c r="M397" t="s">
        <v>22</v>
      </c>
      <c r="N397" t="s">
        <v>1275</v>
      </c>
    </row>
    <row r="398" spans="1:14" x14ac:dyDescent="0.35">
      <c r="A398" t="s">
        <v>1276</v>
      </c>
      <c r="B398" t="s">
        <v>1277</v>
      </c>
      <c r="C398" s="1">
        <v>45250</v>
      </c>
      <c r="D398" t="s">
        <v>72</v>
      </c>
      <c r="E398" t="s">
        <v>34</v>
      </c>
      <c r="F398" t="s">
        <v>26</v>
      </c>
      <c r="G398" t="s">
        <v>87</v>
      </c>
      <c r="H398">
        <v>4</v>
      </c>
      <c r="I398">
        <v>252000</v>
      </c>
      <c r="J398" t="s">
        <v>46</v>
      </c>
      <c r="K398" t="s">
        <v>41</v>
      </c>
      <c r="L398">
        <v>41</v>
      </c>
      <c r="M398" t="s">
        <v>22</v>
      </c>
      <c r="N398" t="s">
        <v>1278</v>
      </c>
    </row>
    <row r="399" spans="1:14" x14ac:dyDescent="0.35">
      <c r="A399" t="s">
        <v>1279</v>
      </c>
      <c r="B399" t="s">
        <v>1280</v>
      </c>
      <c r="C399" s="1">
        <v>45615</v>
      </c>
      <c r="D399" t="s">
        <v>66</v>
      </c>
      <c r="E399" t="s">
        <v>55</v>
      </c>
      <c r="F399" t="s">
        <v>56</v>
      </c>
      <c r="G399" t="s">
        <v>116</v>
      </c>
      <c r="H399">
        <v>5</v>
      </c>
      <c r="I399">
        <v>420000</v>
      </c>
      <c r="J399" t="s">
        <v>28</v>
      </c>
      <c r="K399" t="s">
        <v>41</v>
      </c>
      <c r="L399">
        <v>12</v>
      </c>
      <c r="M399" t="s">
        <v>30</v>
      </c>
      <c r="N399" t="s">
        <v>1281</v>
      </c>
    </row>
    <row r="400" spans="1:14" x14ac:dyDescent="0.35">
      <c r="A400" t="s">
        <v>1282</v>
      </c>
      <c r="B400" t="s">
        <v>1283</v>
      </c>
      <c r="C400" s="1">
        <v>45746</v>
      </c>
      <c r="D400" t="s">
        <v>45</v>
      </c>
      <c r="E400" t="s">
        <v>34</v>
      </c>
      <c r="F400" t="s">
        <v>26</v>
      </c>
      <c r="G400" t="s">
        <v>35</v>
      </c>
      <c r="H400">
        <v>2</v>
      </c>
      <c r="I400">
        <v>216000</v>
      </c>
      <c r="J400" t="s">
        <v>28</v>
      </c>
      <c r="K400" t="s">
        <v>21</v>
      </c>
      <c r="L400">
        <v>13</v>
      </c>
      <c r="M400" t="s">
        <v>30</v>
      </c>
      <c r="N400" t="s">
        <v>1284</v>
      </c>
    </row>
    <row r="401" spans="1:14" x14ac:dyDescent="0.35">
      <c r="A401" t="s">
        <v>1285</v>
      </c>
      <c r="B401" t="s">
        <v>1286</v>
      </c>
      <c r="C401" s="1">
        <v>45045</v>
      </c>
      <c r="D401" t="s">
        <v>72</v>
      </c>
      <c r="E401" t="s">
        <v>55</v>
      </c>
      <c r="F401" t="s">
        <v>252</v>
      </c>
      <c r="G401" t="s">
        <v>307</v>
      </c>
      <c r="H401">
        <v>3</v>
      </c>
      <c r="I401">
        <v>189000</v>
      </c>
      <c r="J401" t="s">
        <v>83</v>
      </c>
      <c r="K401" t="s">
        <v>41</v>
      </c>
      <c r="L401">
        <v>7</v>
      </c>
      <c r="M401" t="s">
        <v>22</v>
      </c>
      <c r="N401" t="s">
        <v>1287</v>
      </c>
    </row>
    <row r="402" spans="1:14" x14ac:dyDescent="0.35">
      <c r="A402" t="s">
        <v>1288</v>
      </c>
      <c r="B402" t="s">
        <v>1289</v>
      </c>
      <c r="C402" s="1">
        <v>45660</v>
      </c>
      <c r="D402" t="s">
        <v>45</v>
      </c>
      <c r="E402" t="s">
        <v>17</v>
      </c>
      <c r="F402" t="s">
        <v>252</v>
      </c>
      <c r="G402" t="s">
        <v>504</v>
      </c>
      <c r="H402">
        <v>2</v>
      </c>
      <c r="I402">
        <v>216000</v>
      </c>
      <c r="J402" t="s">
        <v>46</v>
      </c>
      <c r="K402" t="s">
        <v>21</v>
      </c>
      <c r="L402">
        <v>35</v>
      </c>
      <c r="M402" t="s">
        <v>30</v>
      </c>
      <c r="N402" t="s">
        <v>1290</v>
      </c>
    </row>
    <row r="403" spans="1:14" x14ac:dyDescent="0.35">
      <c r="A403" t="s">
        <v>1291</v>
      </c>
      <c r="B403" t="s">
        <v>1292</v>
      </c>
      <c r="C403" s="1">
        <v>45368</v>
      </c>
      <c r="D403" t="s">
        <v>45</v>
      </c>
      <c r="E403" t="s">
        <v>34</v>
      </c>
      <c r="F403" t="s">
        <v>26</v>
      </c>
      <c r="G403" t="s">
        <v>35</v>
      </c>
      <c r="H403">
        <v>2</v>
      </c>
      <c r="I403">
        <v>180000</v>
      </c>
      <c r="J403" t="s">
        <v>20</v>
      </c>
      <c r="K403" t="s">
        <v>29</v>
      </c>
      <c r="L403">
        <v>20</v>
      </c>
      <c r="M403" t="s">
        <v>30</v>
      </c>
      <c r="N403" t="s">
        <v>1293</v>
      </c>
    </row>
    <row r="404" spans="1:14" x14ac:dyDescent="0.35">
      <c r="A404" t="s">
        <v>1294</v>
      </c>
      <c r="B404" t="s">
        <v>1295</v>
      </c>
      <c r="C404" s="1">
        <v>45404</v>
      </c>
      <c r="D404" t="s">
        <v>66</v>
      </c>
      <c r="E404" t="s">
        <v>55</v>
      </c>
      <c r="F404" t="s">
        <v>56</v>
      </c>
      <c r="G404" t="s">
        <v>508</v>
      </c>
      <c r="H404">
        <v>3</v>
      </c>
      <c r="I404">
        <v>180000</v>
      </c>
      <c r="J404" t="s">
        <v>28</v>
      </c>
      <c r="K404" t="s">
        <v>29</v>
      </c>
      <c r="L404">
        <v>41</v>
      </c>
      <c r="M404" t="s">
        <v>22</v>
      </c>
      <c r="N404" t="s">
        <v>1296</v>
      </c>
    </row>
    <row r="405" spans="1:14" x14ac:dyDescent="0.35">
      <c r="A405" t="s">
        <v>1297</v>
      </c>
      <c r="B405" t="s">
        <v>1298</v>
      </c>
      <c r="C405" s="1">
        <v>45347</v>
      </c>
      <c r="D405" t="s">
        <v>45</v>
      </c>
      <c r="E405" t="s">
        <v>17</v>
      </c>
      <c r="F405" t="s">
        <v>39</v>
      </c>
      <c r="G405" t="s">
        <v>140</v>
      </c>
      <c r="H405">
        <v>3</v>
      </c>
      <c r="I405">
        <v>270000</v>
      </c>
      <c r="J405" t="s">
        <v>108</v>
      </c>
      <c r="K405" t="s">
        <v>29</v>
      </c>
      <c r="L405">
        <v>47</v>
      </c>
      <c r="M405" t="s">
        <v>22</v>
      </c>
      <c r="N405" t="s">
        <v>1299</v>
      </c>
    </row>
    <row r="406" spans="1:14" x14ac:dyDescent="0.35">
      <c r="A406" t="s">
        <v>1300</v>
      </c>
      <c r="B406" t="s">
        <v>1301</v>
      </c>
      <c r="C406" s="1">
        <v>45342</v>
      </c>
      <c r="D406" t="s">
        <v>72</v>
      </c>
      <c r="E406" t="s">
        <v>34</v>
      </c>
      <c r="F406" t="s">
        <v>67</v>
      </c>
      <c r="G406" t="s">
        <v>68</v>
      </c>
      <c r="H406">
        <v>5</v>
      </c>
      <c r="I406">
        <v>315000</v>
      </c>
      <c r="J406" t="s">
        <v>46</v>
      </c>
      <c r="K406" t="s">
        <v>41</v>
      </c>
      <c r="L406">
        <v>5</v>
      </c>
      <c r="M406" t="s">
        <v>30</v>
      </c>
      <c r="N406" t="s">
        <v>1302</v>
      </c>
    </row>
    <row r="407" spans="1:14" x14ac:dyDescent="0.35">
      <c r="A407" t="s">
        <v>1303</v>
      </c>
      <c r="B407" t="s">
        <v>1304</v>
      </c>
      <c r="C407" s="1">
        <v>45495</v>
      </c>
      <c r="D407" t="s">
        <v>16</v>
      </c>
      <c r="E407" t="s">
        <v>55</v>
      </c>
      <c r="F407" t="s">
        <v>50</v>
      </c>
      <c r="G407" t="s">
        <v>148</v>
      </c>
      <c r="H407">
        <v>4</v>
      </c>
      <c r="I407">
        <v>400000</v>
      </c>
      <c r="J407" t="s">
        <v>46</v>
      </c>
      <c r="K407" t="s">
        <v>29</v>
      </c>
      <c r="L407">
        <v>18</v>
      </c>
      <c r="M407" t="s">
        <v>30</v>
      </c>
      <c r="N407" t="s">
        <v>1305</v>
      </c>
    </row>
    <row r="408" spans="1:14" x14ac:dyDescent="0.35">
      <c r="A408" t="s">
        <v>1306</v>
      </c>
      <c r="B408" t="s">
        <v>1307</v>
      </c>
      <c r="C408" s="1">
        <v>45501</v>
      </c>
      <c r="D408" t="s">
        <v>66</v>
      </c>
      <c r="E408" t="s">
        <v>55</v>
      </c>
      <c r="F408" t="s">
        <v>26</v>
      </c>
      <c r="G408" t="s">
        <v>27</v>
      </c>
      <c r="H408">
        <v>4</v>
      </c>
      <c r="I408">
        <v>288000</v>
      </c>
      <c r="J408" t="s">
        <v>46</v>
      </c>
      <c r="K408" t="s">
        <v>21</v>
      </c>
      <c r="L408">
        <v>24</v>
      </c>
      <c r="M408" t="s">
        <v>22</v>
      </c>
      <c r="N408" t="s">
        <v>1308</v>
      </c>
    </row>
    <row r="409" spans="1:14" x14ac:dyDescent="0.35">
      <c r="A409" t="s">
        <v>1309</v>
      </c>
      <c r="B409" t="s">
        <v>1310</v>
      </c>
      <c r="C409" s="1">
        <v>45318</v>
      </c>
      <c r="D409" t="s">
        <v>16</v>
      </c>
      <c r="E409" t="s">
        <v>34</v>
      </c>
      <c r="F409" t="s">
        <v>67</v>
      </c>
      <c r="G409" t="s">
        <v>112</v>
      </c>
      <c r="H409">
        <v>2</v>
      </c>
      <c r="I409">
        <v>240000</v>
      </c>
      <c r="J409" t="s">
        <v>20</v>
      </c>
      <c r="K409" t="s">
        <v>21</v>
      </c>
      <c r="L409">
        <v>26</v>
      </c>
      <c r="M409" t="s">
        <v>22</v>
      </c>
      <c r="N409" t="s">
        <v>1311</v>
      </c>
    </row>
    <row r="410" spans="1:14" x14ac:dyDescent="0.35">
      <c r="A410" t="s">
        <v>1312</v>
      </c>
      <c r="B410" t="s">
        <v>1313</v>
      </c>
      <c r="C410" s="1">
        <v>45262</v>
      </c>
      <c r="D410" t="s">
        <v>66</v>
      </c>
      <c r="E410" t="s">
        <v>17</v>
      </c>
      <c r="F410" t="s">
        <v>77</v>
      </c>
      <c r="G410" t="s">
        <v>91</v>
      </c>
      <c r="H410">
        <v>4</v>
      </c>
      <c r="I410">
        <v>288000</v>
      </c>
      <c r="J410" t="s">
        <v>46</v>
      </c>
      <c r="K410" t="s">
        <v>21</v>
      </c>
      <c r="L410">
        <v>37</v>
      </c>
      <c r="M410" t="s">
        <v>22</v>
      </c>
      <c r="N410" t="s">
        <v>1314</v>
      </c>
    </row>
    <row r="411" spans="1:14" x14ac:dyDescent="0.35">
      <c r="A411" t="s">
        <v>1315</v>
      </c>
      <c r="B411" t="s">
        <v>1316</v>
      </c>
      <c r="C411" s="1">
        <v>45162</v>
      </c>
      <c r="D411" t="s">
        <v>72</v>
      </c>
      <c r="E411" t="s">
        <v>17</v>
      </c>
      <c r="F411" t="s">
        <v>163</v>
      </c>
      <c r="G411" t="s">
        <v>282</v>
      </c>
      <c r="H411">
        <v>4</v>
      </c>
      <c r="I411">
        <v>252000</v>
      </c>
      <c r="J411" t="s">
        <v>108</v>
      </c>
      <c r="K411" t="s">
        <v>41</v>
      </c>
      <c r="L411">
        <v>55</v>
      </c>
      <c r="M411" t="s">
        <v>22</v>
      </c>
      <c r="N411" t="s">
        <v>1317</v>
      </c>
    </row>
    <row r="412" spans="1:14" x14ac:dyDescent="0.35">
      <c r="A412" t="s">
        <v>1318</v>
      </c>
      <c r="B412" t="s">
        <v>1319</v>
      </c>
      <c r="C412" s="1">
        <v>45682</v>
      </c>
      <c r="D412" t="s">
        <v>16</v>
      </c>
      <c r="E412" t="s">
        <v>34</v>
      </c>
      <c r="F412" t="s">
        <v>61</v>
      </c>
      <c r="G412" t="s">
        <v>290</v>
      </c>
      <c r="H412">
        <v>4</v>
      </c>
      <c r="I412">
        <v>560000</v>
      </c>
      <c r="J412" t="s">
        <v>20</v>
      </c>
      <c r="K412" t="s">
        <v>41</v>
      </c>
      <c r="L412">
        <v>27</v>
      </c>
      <c r="M412" t="s">
        <v>30</v>
      </c>
      <c r="N412" t="s">
        <v>1320</v>
      </c>
    </row>
    <row r="413" spans="1:14" x14ac:dyDescent="0.35">
      <c r="A413" t="s">
        <v>1321</v>
      </c>
      <c r="B413" t="s">
        <v>1322</v>
      </c>
      <c r="C413" s="1">
        <v>45248</v>
      </c>
      <c r="D413" t="s">
        <v>16</v>
      </c>
      <c r="E413" t="s">
        <v>55</v>
      </c>
      <c r="F413" t="s">
        <v>26</v>
      </c>
      <c r="G413" t="s">
        <v>124</v>
      </c>
      <c r="H413">
        <v>2</v>
      </c>
      <c r="I413">
        <v>200000</v>
      </c>
      <c r="J413" t="s">
        <v>28</v>
      </c>
      <c r="K413" t="s">
        <v>29</v>
      </c>
      <c r="L413">
        <v>58</v>
      </c>
      <c r="M413" t="s">
        <v>22</v>
      </c>
      <c r="N413" t="s">
        <v>1323</v>
      </c>
    </row>
    <row r="414" spans="1:14" x14ac:dyDescent="0.35">
      <c r="A414" t="s">
        <v>1324</v>
      </c>
      <c r="B414" t="s">
        <v>1325</v>
      </c>
      <c r="C414" s="1">
        <v>45769</v>
      </c>
      <c r="D414" t="s">
        <v>72</v>
      </c>
      <c r="E414" t="s">
        <v>55</v>
      </c>
      <c r="F414" t="s">
        <v>61</v>
      </c>
      <c r="G414" t="s">
        <v>62</v>
      </c>
      <c r="H414">
        <v>5</v>
      </c>
      <c r="I414">
        <v>225000</v>
      </c>
      <c r="J414" t="s">
        <v>108</v>
      </c>
      <c r="K414" t="s">
        <v>29</v>
      </c>
      <c r="L414">
        <v>44</v>
      </c>
      <c r="M414" t="s">
        <v>30</v>
      </c>
      <c r="N414" t="s">
        <v>1326</v>
      </c>
    </row>
    <row r="415" spans="1:14" x14ac:dyDescent="0.35">
      <c r="A415" t="s">
        <v>1327</v>
      </c>
      <c r="B415" t="s">
        <v>1328</v>
      </c>
      <c r="C415" s="1">
        <v>45343</v>
      </c>
      <c r="D415" t="s">
        <v>16</v>
      </c>
      <c r="E415" t="s">
        <v>34</v>
      </c>
      <c r="F415" t="s">
        <v>18</v>
      </c>
      <c r="G415" t="s">
        <v>103</v>
      </c>
      <c r="H415">
        <v>2</v>
      </c>
      <c r="I415">
        <v>200000</v>
      </c>
      <c r="J415" t="s">
        <v>83</v>
      </c>
      <c r="K415" t="s">
        <v>29</v>
      </c>
      <c r="L415">
        <v>47</v>
      </c>
      <c r="M415" t="s">
        <v>30</v>
      </c>
      <c r="N415" t="s">
        <v>1329</v>
      </c>
    </row>
    <row r="416" spans="1:14" x14ac:dyDescent="0.35">
      <c r="A416" t="s">
        <v>1330</v>
      </c>
      <c r="B416" t="s">
        <v>1331</v>
      </c>
      <c r="C416" s="1">
        <v>45510</v>
      </c>
      <c r="D416" t="s">
        <v>66</v>
      </c>
      <c r="E416" t="s">
        <v>17</v>
      </c>
      <c r="F416" t="s">
        <v>67</v>
      </c>
      <c r="G416" t="s">
        <v>120</v>
      </c>
      <c r="H416">
        <v>5</v>
      </c>
      <c r="I416">
        <v>300000</v>
      </c>
      <c r="J416" t="s">
        <v>28</v>
      </c>
      <c r="K416" t="s">
        <v>29</v>
      </c>
      <c r="L416">
        <v>44</v>
      </c>
      <c r="M416" t="s">
        <v>30</v>
      </c>
      <c r="N416" t="s">
        <v>1332</v>
      </c>
    </row>
    <row r="417" spans="1:14" x14ac:dyDescent="0.35">
      <c r="A417" t="s">
        <v>1333</v>
      </c>
      <c r="B417" t="s">
        <v>1334</v>
      </c>
      <c r="C417" s="1">
        <v>45338</v>
      </c>
      <c r="D417" t="s">
        <v>72</v>
      </c>
      <c r="E417" t="s">
        <v>34</v>
      </c>
      <c r="F417" t="s">
        <v>56</v>
      </c>
      <c r="G417" t="s">
        <v>508</v>
      </c>
      <c r="H417">
        <v>4</v>
      </c>
      <c r="I417">
        <v>216000</v>
      </c>
      <c r="J417" t="s">
        <v>20</v>
      </c>
      <c r="K417" t="s">
        <v>21</v>
      </c>
      <c r="L417">
        <v>34</v>
      </c>
      <c r="M417" t="s">
        <v>30</v>
      </c>
      <c r="N417" t="s">
        <v>1335</v>
      </c>
    </row>
    <row r="418" spans="1:14" x14ac:dyDescent="0.35">
      <c r="A418" t="s">
        <v>1336</v>
      </c>
      <c r="B418" t="s">
        <v>1337</v>
      </c>
      <c r="C418" s="1">
        <v>45109</v>
      </c>
      <c r="D418" t="s">
        <v>45</v>
      </c>
      <c r="E418" t="s">
        <v>55</v>
      </c>
      <c r="F418" t="s">
        <v>56</v>
      </c>
      <c r="G418" t="s">
        <v>116</v>
      </c>
      <c r="H418">
        <v>1</v>
      </c>
      <c r="I418">
        <v>108000</v>
      </c>
      <c r="J418" t="s">
        <v>108</v>
      </c>
      <c r="K418" t="s">
        <v>21</v>
      </c>
      <c r="L418">
        <v>40</v>
      </c>
      <c r="M418" t="s">
        <v>30</v>
      </c>
      <c r="N418" t="s">
        <v>1338</v>
      </c>
    </row>
    <row r="419" spans="1:14" x14ac:dyDescent="0.35">
      <c r="A419" t="s">
        <v>1339</v>
      </c>
      <c r="B419" t="s">
        <v>1340</v>
      </c>
      <c r="C419" s="1">
        <v>45145</v>
      </c>
      <c r="D419" t="s">
        <v>45</v>
      </c>
      <c r="E419" t="s">
        <v>34</v>
      </c>
      <c r="F419" t="s">
        <v>26</v>
      </c>
      <c r="G419" t="s">
        <v>87</v>
      </c>
      <c r="H419">
        <v>2</v>
      </c>
      <c r="I419">
        <v>180000</v>
      </c>
      <c r="J419" t="s">
        <v>83</v>
      </c>
      <c r="K419" t="s">
        <v>29</v>
      </c>
      <c r="L419">
        <v>26</v>
      </c>
      <c r="M419" t="s">
        <v>22</v>
      </c>
      <c r="N419" t="s">
        <v>1341</v>
      </c>
    </row>
    <row r="420" spans="1:14" x14ac:dyDescent="0.35">
      <c r="A420" t="s">
        <v>1342</v>
      </c>
      <c r="B420" t="s">
        <v>1343</v>
      </c>
      <c r="C420" s="1">
        <v>45161</v>
      </c>
      <c r="D420" t="s">
        <v>72</v>
      </c>
      <c r="E420" t="s">
        <v>17</v>
      </c>
      <c r="F420" t="s">
        <v>50</v>
      </c>
      <c r="G420" t="s">
        <v>73</v>
      </c>
      <c r="H420">
        <v>1</v>
      </c>
      <c r="I420">
        <v>63000</v>
      </c>
      <c r="J420" t="s">
        <v>28</v>
      </c>
      <c r="K420" t="s">
        <v>41</v>
      </c>
      <c r="L420">
        <v>43</v>
      </c>
      <c r="M420" t="s">
        <v>22</v>
      </c>
      <c r="N420" t="s">
        <v>1344</v>
      </c>
    </row>
    <row r="421" spans="1:14" x14ac:dyDescent="0.35">
      <c r="A421" t="s">
        <v>1345</v>
      </c>
      <c r="B421" t="s">
        <v>1346</v>
      </c>
      <c r="C421" s="1">
        <v>45615</v>
      </c>
      <c r="D421" t="s">
        <v>72</v>
      </c>
      <c r="E421" t="s">
        <v>34</v>
      </c>
      <c r="F421" t="s">
        <v>252</v>
      </c>
      <c r="G421" t="s">
        <v>253</v>
      </c>
      <c r="H421">
        <v>4</v>
      </c>
      <c r="I421">
        <v>180000</v>
      </c>
      <c r="J421" t="s">
        <v>28</v>
      </c>
      <c r="K421" t="s">
        <v>29</v>
      </c>
      <c r="L421">
        <v>10</v>
      </c>
      <c r="M421" t="s">
        <v>22</v>
      </c>
      <c r="N421" t="s">
        <v>1347</v>
      </c>
    </row>
    <row r="422" spans="1:14" x14ac:dyDescent="0.35">
      <c r="A422" t="s">
        <v>1348</v>
      </c>
      <c r="B422" t="s">
        <v>1349</v>
      </c>
      <c r="C422" s="1">
        <v>45669</v>
      </c>
      <c r="D422" t="s">
        <v>72</v>
      </c>
      <c r="E422" t="s">
        <v>17</v>
      </c>
      <c r="F422" t="s">
        <v>18</v>
      </c>
      <c r="G422" t="s">
        <v>19</v>
      </c>
      <c r="H422">
        <v>1</v>
      </c>
      <c r="I422">
        <v>63000</v>
      </c>
      <c r="J422" t="s">
        <v>46</v>
      </c>
      <c r="K422" t="s">
        <v>41</v>
      </c>
      <c r="L422">
        <v>37</v>
      </c>
      <c r="M422" t="s">
        <v>22</v>
      </c>
      <c r="N422" t="s">
        <v>1350</v>
      </c>
    </row>
    <row r="423" spans="1:14" x14ac:dyDescent="0.35">
      <c r="A423" t="s">
        <v>1351</v>
      </c>
      <c r="B423" t="s">
        <v>1352</v>
      </c>
      <c r="C423" s="1">
        <v>45324</v>
      </c>
      <c r="D423" t="s">
        <v>72</v>
      </c>
      <c r="E423" t="s">
        <v>55</v>
      </c>
      <c r="F423" t="s">
        <v>163</v>
      </c>
      <c r="G423" t="s">
        <v>214</v>
      </c>
      <c r="H423">
        <v>4</v>
      </c>
      <c r="I423">
        <v>252000</v>
      </c>
      <c r="J423" t="s">
        <v>20</v>
      </c>
      <c r="K423" t="s">
        <v>41</v>
      </c>
      <c r="L423">
        <v>9</v>
      </c>
      <c r="M423" t="s">
        <v>22</v>
      </c>
      <c r="N423" t="s">
        <v>1353</v>
      </c>
    </row>
    <row r="424" spans="1:14" x14ac:dyDescent="0.35">
      <c r="A424" t="s">
        <v>1354</v>
      </c>
      <c r="B424" t="s">
        <v>1355</v>
      </c>
      <c r="C424" s="1">
        <v>45166</v>
      </c>
      <c r="D424" t="s">
        <v>45</v>
      </c>
      <c r="E424" t="s">
        <v>55</v>
      </c>
      <c r="F424" t="s">
        <v>26</v>
      </c>
      <c r="G424" t="s">
        <v>124</v>
      </c>
      <c r="H424">
        <v>5</v>
      </c>
      <c r="I424">
        <v>630000</v>
      </c>
      <c r="J424" t="s">
        <v>28</v>
      </c>
      <c r="K424" t="s">
        <v>41</v>
      </c>
      <c r="L424">
        <v>22</v>
      </c>
      <c r="M424" t="s">
        <v>30</v>
      </c>
      <c r="N424" t="s">
        <v>1356</v>
      </c>
    </row>
    <row r="425" spans="1:14" x14ac:dyDescent="0.35">
      <c r="A425" t="s">
        <v>1357</v>
      </c>
      <c r="B425" t="s">
        <v>1358</v>
      </c>
      <c r="C425" s="1">
        <v>45355</v>
      </c>
      <c r="D425" t="s">
        <v>45</v>
      </c>
      <c r="E425" t="s">
        <v>55</v>
      </c>
      <c r="F425" t="s">
        <v>18</v>
      </c>
      <c r="G425" t="s">
        <v>181</v>
      </c>
      <c r="H425">
        <v>2</v>
      </c>
      <c r="I425">
        <v>216000</v>
      </c>
      <c r="J425" t="s">
        <v>20</v>
      </c>
      <c r="K425" t="s">
        <v>21</v>
      </c>
      <c r="L425">
        <v>44</v>
      </c>
      <c r="M425" t="s">
        <v>30</v>
      </c>
      <c r="N425" t="s">
        <v>1359</v>
      </c>
    </row>
    <row r="426" spans="1:14" x14ac:dyDescent="0.35">
      <c r="A426" t="s">
        <v>1360</v>
      </c>
      <c r="B426" t="s">
        <v>1361</v>
      </c>
      <c r="C426" s="1">
        <v>45672</v>
      </c>
      <c r="D426" t="s">
        <v>66</v>
      </c>
      <c r="E426" t="s">
        <v>55</v>
      </c>
      <c r="F426" t="s">
        <v>252</v>
      </c>
      <c r="G426" t="s">
        <v>286</v>
      </c>
      <c r="H426">
        <v>2</v>
      </c>
      <c r="I426">
        <v>144000</v>
      </c>
      <c r="J426" t="s">
        <v>108</v>
      </c>
      <c r="K426" t="s">
        <v>21</v>
      </c>
      <c r="L426">
        <v>31</v>
      </c>
      <c r="M426" t="s">
        <v>30</v>
      </c>
      <c r="N426" t="s">
        <v>1362</v>
      </c>
    </row>
    <row r="427" spans="1:14" x14ac:dyDescent="0.35">
      <c r="A427" t="s">
        <v>1363</v>
      </c>
      <c r="B427" t="s">
        <v>1364</v>
      </c>
      <c r="C427" s="1">
        <v>45546</v>
      </c>
      <c r="D427" t="s">
        <v>66</v>
      </c>
      <c r="E427" t="s">
        <v>34</v>
      </c>
      <c r="F427" t="s">
        <v>77</v>
      </c>
      <c r="G427" t="s">
        <v>136</v>
      </c>
      <c r="H427">
        <v>1</v>
      </c>
      <c r="I427">
        <v>84000</v>
      </c>
      <c r="J427" t="s">
        <v>108</v>
      </c>
      <c r="K427" t="s">
        <v>41</v>
      </c>
      <c r="L427">
        <v>19</v>
      </c>
      <c r="M427" t="s">
        <v>30</v>
      </c>
      <c r="N427" t="s">
        <v>1365</v>
      </c>
    </row>
    <row r="428" spans="1:14" x14ac:dyDescent="0.35">
      <c r="A428" t="s">
        <v>1366</v>
      </c>
      <c r="B428" t="s">
        <v>1367</v>
      </c>
      <c r="C428" s="1">
        <v>45415</v>
      </c>
      <c r="D428" t="s">
        <v>66</v>
      </c>
      <c r="E428" t="s">
        <v>55</v>
      </c>
      <c r="F428" t="s">
        <v>26</v>
      </c>
      <c r="G428" t="s">
        <v>27</v>
      </c>
      <c r="H428">
        <v>5</v>
      </c>
      <c r="I428">
        <v>420000</v>
      </c>
      <c r="J428" t="s">
        <v>28</v>
      </c>
      <c r="K428" t="s">
        <v>41</v>
      </c>
      <c r="L428">
        <v>31</v>
      </c>
      <c r="M428" t="s">
        <v>22</v>
      </c>
      <c r="N428" t="s">
        <v>1368</v>
      </c>
    </row>
    <row r="429" spans="1:14" x14ac:dyDescent="0.35">
      <c r="A429" t="s">
        <v>1369</v>
      </c>
      <c r="B429" t="s">
        <v>1370</v>
      </c>
      <c r="C429" s="1">
        <v>45438</v>
      </c>
      <c r="D429" t="s">
        <v>72</v>
      </c>
      <c r="E429" t="s">
        <v>55</v>
      </c>
      <c r="F429" t="s">
        <v>39</v>
      </c>
      <c r="G429" t="s">
        <v>82</v>
      </c>
      <c r="H429">
        <v>1</v>
      </c>
      <c r="I429">
        <v>54000</v>
      </c>
      <c r="J429" t="s">
        <v>46</v>
      </c>
      <c r="K429" t="s">
        <v>21</v>
      </c>
      <c r="L429">
        <v>58</v>
      </c>
      <c r="M429" t="s">
        <v>30</v>
      </c>
      <c r="N429" t="s">
        <v>1371</v>
      </c>
    </row>
    <row r="430" spans="1:14" x14ac:dyDescent="0.35">
      <c r="A430" t="s">
        <v>1372</v>
      </c>
      <c r="B430" t="s">
        <v>1373</v>
      </c>
      <c r="C430" s="1">
        <v>45217</v>
      </c>
      <c r="D430" t="s">
        <v>72</v>
      </c>
      <c r="E430" t="s">
        <v>17</v>
      </c>
      <c r="F430" t="s">
        <v>39</v>
      </c>
      <c r="G430" t="s">
        <v>40</v>
      </c>
      <c r="H430">
        <v>3</v>
      </c>
      <c r="I430">
        <v>189000</v>
      </c>
      <c r="J430" t="s">
        <v>108</v>
      </c>
      <c r="K430" t="s">
        <v>41</v>
      </c>
      <c r="L430">
        <v>45</v>
      </c>
      <c r="M430" t="s">
        <v>22</v>
      </c>
      <c r="N430" t="s">
        <v>1374</v>
      </c>
    </row>
    <row r="431" spans="1:14" x14ac:dyDescent="0.35">
      <c r="A431" t="s">
        <v>1375</v>
      </c>
      <c r="B431" t="s">
        <v>1376</v>
      </c>
      <c r="C431" s="1">
        <v>45472</v>
      </c>
      <c r="D431" t="s">
        <v>66</v>
      </c>
      <c r="E431" t="s">
        <v>34</v>
      </c>
      <c r="F431" t="s">
        <v>50</v>
      </c>
      <c r="G431" t="s">
        <v>107</v>
      </c>
      <c r="H431">
        <v>3</v>
      </c>
      <c r="I431">
        <v>216000</v>
      </c>
      <c r="J431" t="s">
        <v>28</v>
      </c>
      <c r="K431" t="s">
        <v>21</v>
      </c>
      <c r="L431">
        <v>38</v>
      </c>
      <c r="M431" t="s">
        <v>30</v>
      </c>
      <c r="N431" t="s">
        <v>1377</v>
      </c>
    </row>
    <row r="432" spans="1:14" x14ac:dyDescent="0.35">
      <c r="A432" t="s">
        <v>1378</v>
      </c>
      <c r="B432" t="s">
        <v>1379</v>
      </c>
      <c r="C432" s="1">
        <v>45235</v>
      </c>
      <c r="D432" t="s">
        <v>16</v>
      </c>
      <c r="E432" t="s">
        <v>17</v>
      </c>
      <c r="F432" t="s">
        <v>252</v>
      </c>
      <c r="G432" t="s">
        <v>257</v>
      </c>
      <c r="H432">
        <v>3</v>
      </c>
      <c r="I432">
        <v>420000</v>
      </c>
      <c r="J432" t="s">
        <v>28</v>
      </c>
      <c r="K432" t="s">
        <v>41</v>
      </c>
      <c r="L432">
        <v>17</v>
      </c>
      <c r="M432" t="s">
        <v>30</v>
      </c>
      <c r="N432" t="s">
        <v>1380</v>
      </c>
    </row>
    <row r="433" spans="1:14" x14ac:dyDescent="0.35">
      <c r="A433" t="s">
        <v>1381</v>
      </c>
      <c r="B433" t="s">
        <v>1382</v>
      </c>
      <c r="C433" s="1">
        <v>45077</v>
      </c>
      <c r="D433" t="s">
        <v>45</v>
      </c>
      <c r="E433" t="s">
        <v>34</v>
      </c>
      <c r="F433" t="s">
        <v>39</v>
      </c>
      <c r="G433" t="s">
        <v>82</v>
      </c>
      <c r="H433">
        <v>5</v>
      </c>
      <c r="I433">
        <v>540000</v>
      </c>
      <c r="J433" t="s">
        <v>108</v>
      </c>
      <c r="K433" t="s">
        <v>21</v>
      </c>
      <c r="L433">
        <v>53</v>
      </c>
      <c r="M433" t="s">
        <v>30</v>
      </c>
      <c r="N433" t="s">
        <v>1383</v>
      </c>
    </row>
    <row r="434" spans="1:14" x14ac:dyDescent="0.35">
      <c r="A434" t="s">
        <v>1384</v>
      </c>
      <c r="B434" t="s">
        <v>1385</v>
      </c>
      <c r="C434" s="1">
        <v>45326</v>
      </c>
      <c r="D434" t="s">
        <v>66</v>
      </c>
      <c r="E434" t="s">
        <v>17</v>
      </c>
      <c r="F434" t="s">
        <v>163</v>
      </c>
      <c r="G434" t="s">
        <v>164</v>
      </c>
      <c r="H434">
        <v>5</v>
      </c>
      <c r="I434">
        <v>300000</v>
      </c>
      <c r="J434" t="s">
        <v>46</v>
      </c>
      <c r="K434" t="s">
        <v>29</v>
      </c>
      <c r="L434">
        <v>18</v>
      </c>
      <c r="M434" t="s">
        <v>22</v>
      </c>
      <c r="N434" t="s">
        <v>1386</v>
      </c>
    </row>
    <row r="435" spans="1:14" x14ac:dyDescent="0.35">
      <c r="A435" t="s">
        <v>1387</v>
      </c>
      <c r="B435" t="s">
        <v>1388</v>
      </c>
      <c r="C435" s="1">
        <v>45632</v>
      </c>
      <c r="D435" t="s">
        <v>16</v>
      </c>
      <c r="E435" t="s">
        <v>17</v>
      </c>
      <c r="F435" t="s">
        <v>163</v>
      </c>
      <c r="G435" t="s">
        <v>536</v>
      </c>
      <c r="H435">
        <v>3</v>
      </c>
      <c r="I435">
        <v>360000</v>
      </c>
      <c r="J435" t="s">
        <v>46</v>
      </c>
      <c r="K435" t="s">
        <v>21</v>
      </c>
      <c r="L435">
        <v>55</v>
      </c>
      <c r="M435" t="s">
        <v>30</v>
      </c>
      <c r="N435" t="s">
        <v>1389</v>
      </c>
    </row>
    <row r="436" spans="1:14" x14ac:dyDescent="0.35">
      <c r="A436" t="s">
        <v>1390</v>
      </c>
      <c r="B436" t="s">
        <v>1391</v>
      </c>
      <c r="C436" s="1">
        <v>45220</v>
      </c>
      <c r="D436" t="s">
        <v>66</v>
      </c>
      <c r="E436" t="s">
        <v>17</v>
      </c>
      <c r="F436" t="s">
        <v>163</v>
      </c>
      <c r="G436" t="s">
        <v>282</v>
      </c>
      <c r="H436">
        <v>2</v>
      </c>
      <c r="I436">
        <v>168000</v>
      </c>
      <c r="J436" t="s">
        <v>46</v>
      </c>
      <c r="K436" t="s">
        <v>41</v>
      </c>
      <c r="L436">
        <v>15</v>
      </c>
      <c r="M436" t="s">
        <v>30</v>
      </c>
      <c r="N436" t="s">
        <v>1392</v>
      </c>
    </row>
    <row r="437" spans="1:14" x14ac:dyDescent="0.35">
      <c r="A437" t="s">
        <v>1393</v>
      </c>
      <c r="B437" t="s">
        <v>1394</v>
      </c>
      <c r="C437" s="1">
        <v>45539</v>
      </c>
      <c r="D437" t="s">
        <v>16</v>
      </c>
      <c r="E437" t="s">
        <v>34</v>
      </c>
      <c r="F437" t="s">
        <v>39</v>
      </c>
      <c r="G437" t="s">
        <v>393</v>
      </c>
      <c r="H437">
        <v>1</v>
      </c>
      <c r="I437">
        <v>120000</v>
      </c>
      <c r="J437" t="s">
        <v>108</v>
      </c>
      <c r="K437" t="s">
        <v>21</v>
      </c>
      <c r="L437">
        <v>18</v>
      </c>
      <c r="M437" t="s">
        <v>30</v>
      </c>
      <c r="N437" t="s">
        <v>1395</v>
      </c>
    </row>
    <row r="438" spans="1:14" x14ac:dyDescent="0.35">
      <c r="A438" t="s">
        <v>1396</v>
      </c>
      <c r="B438" t="s">
        <v>1397</v>
      </c>
      <c r="C438" s="1">
        <v>45664</v>
      </c>
      <c r="D438" t="s">
        <v>72</v>
      </c>
      <c r="E438" t="s">
        <v>34</v>
      </c>
      <c r="F438" t="s">
        <v>50</v>
      </c>
      <c r="G438" t="s">
        <v>51</v>
      </c>
      <c r="H438">
        <v>5</v>
      </c>
      <c r="I438">
        <v>225000</v>
      </c>
      <c r="J438" t="s">
        <v>28</v>
      </c>
      <c r="K438" t="s">
        <v>29</v>
      </c>
      <c r="L438">
        <v>44</v>
      </c>
      <c r="M438" t="s">
        <v>30</v>
      </c>
      <c r="N438" t="s">
        <v>1398</v>
      </c>
    </row>
    <row r="439" spans="1:14" x14ac:dyDescent="0.35">
      <c r="A439" t="s">
        <v>1399</v>
      </c>
      <c r="B439" t="s">
        <v>1400</v>
      </c>
      <c r="C439" s="1">
        <v>45708</v>
      </c>
      <c r="D439" t="s">
        <v>72</v>
      </c>
      <c r="E439" t="s">
        <v>17</v>
      </c>
      <c r="F439" t="s">
        <v>26</v>
      </c>
      <c r="G439" t="s">
        <v>35</v>
      </c>
      <c r="H439">
        <v>1</v>
      </c>
      <c r="I439">
        <v>45000</v>
      </c>
      <c r="J439" t="s">
        <v>108</v>
      </c>
      <c r="K439" t="s">
        <v>29</v>
      </c>
      <c r="L439">
        <v>7</v>
      </c>
      <c r="M439" t="s">
        <v>30</v>
      </c>
      <c r="N439" t="s">
        <v>1401</v>
      </c>
    </row>
    <row r="440" spans="1:14" x14ac:dyDescent="0.35">
      <c r="A440" t="s">
        <v>1402</v>
      </c>
      <c r="B440" t="s">
        <v>1403</v>
      </c>
      <c r="C440" s="1">
        <v>45593</v>
      </c>
      <c r="D440" t="s">
        <v>72</v>
      </c>
      <c r="E440" t="s">
        <v>34</v>
      </c>
      <c r="F440" t="s">
        <v>252</v>
      </c>
      <c r="G440" t="s">
        <v>307</v>
      </c>
      <c r="H440">
        <v>5</v>
      </c>
      <c r="I440">
        <v>225000</v>
      </c>
      <c r="J440" t="s">
        <v>83</v>
      </c>
      <c r="K440" t="s">
        <v>29</v>
      </c>
      <c r="L440">
        <v>5</v>
      </c>
      <c r="M440" t="s">
        <v>30</v>
      </c>
      <c r="N440" t="s">
        <v>1404</v>
      </c>
    </row>
    <row r="441" spans="1:14" x14ac:dyDescent="0.35">
      <c r="A441" t="s">
        <v>1405</v>
      </c>
      <c r="B441" t="s">
        <v>1406</v>
      </c>
      <c r="C441" s="1">
        <v>45548</v>
      </c>
      <c r="D441" t="s">
        <v>66</v>
      </c>
      <c r="E441" t="s">
        <v>55</v>
      </c>
      <c r="F441" t="s">
        <v>77</v>
      </c>
      <c r="G441" t="s">
        <v>383</v>
      </c>
      <c r="H441">
        <v>3</v>
      </c>
      <c r="I441">
        <v>180000</v>
      </c>
      <c r="J441" t="s">
        <v>20</v>
      </c>
      <c r="K441" t="s">
        <v>29</v>
      </c>
      <c r="L441">
        <v>40</v>
      </c>
      <c r="M441" t="s">
        <v>22</v>
      </c>
      <c r="N441" t="s">
        <v>1407</v>
      </c>
    </row>
    <row r="442" spans="1:14" x14ac:dyDescent="0.35">
      <c r="A442" t="s">
        <v>1408</v>
      </c>
      <c r="B442" t="s">
        <v>1409</v>
      </c>
      <c r="C442" s="1">
        <v>45715</v>
      </c>
      <c r="D442" t="s">
        <v>45</v>
      </c>
      <c r="E442" t="s">
        <v>55</v>
      </c>
      <c r="F442" t="s">
        <v>252</v>
      </c>
      <c r="G442" t="s">
        <v>253</v>
      </c>
      <c r="H442">
        <v>2</v>
      </c>
      <c r="I442">
        <v>180000</v>
      </c>
      <c r="J442" t="s">
        <v>46</v>
      </c>
      <c r="K442" t="s">
        <v>29</v>
      </c>
      <c r="L442">
        <v>30</v>
      </c>
      <c r="M442" t="s">
        <v>22</v>
      </c>
      <c r="N442" t="s">
        <v>1410</v>
      </c>
    </row>
    <row r="443" spans="1:14" x14ac:dyDescent="0.35">
      <c r="A443" t="s">
        <v>1411</v>
      </c>
      <c r="B443" t="s">
        <v>1412</v>
      </c>
      <c r="C443" s="1">
        <v>45356</v>
      </c>
      <c r="D443" t="s">
        <v>66</v>
      </c>
      <c r="E443" t="s">
        <v>34</v>
      </c>
      <c r="F443" t="s">
        <v>18</v>
      </c>
      <c r="G443" t="s">
        <v>181</v>
      </c>
      <c r="H443">
        <v>3</v>
      </c>
      <c r="I443">
        <v>180000</v>
      </c>
      <c r="J443" t="s">
        <v>20</v>
      </c>
      <c r="K443" t="s">
        <v>29</v>
      </c>
      <c r="L443">
        <v>40</v>
      </c>
      <c r="M443" t="s">
        <v>22</v>
      </c>
      <c r="N443" t="s">
        <v>1413</v>
      </c>
    </row>
    <row r="444" spans="1:14" x14ac:dyDescent="0.35">
      <c r="A444" t="s">
        <v>1414</v>
      </c>
      <c r="B444" t="s">
        <v>1415</v>
      </c>
      <c r="C444" s="1">
        <v>45213</v>
      </c>
      <c r="D444" t="s">
        <v>16</v>
      </c>
      <c r="E444" t="s">
        <v>55</v>
      </c>
      <c r="F444" t="s">
        <v>61</v>
      </c>
      <c r="G444" t="s">
        <v>290</v>
      </c>
      <c r="H444">
        <v>1</v>
      </c>
      <c r="I444">
        <v>140000</v>
      </c>
      <c r="J444" t="s">
        <v>20</v>
      </c>
      <c r="K444" t="s">
        <v>41</v>
      </c>
      <c r="L444">
        <v>24</v>
      </c>
      <c r="M444" t="s">
        <v>22</v>
      </c>
      <c r="N444" t="s">
        <v>1416</v>
      </c>
    </row>
    <row r="445" spans="1:14" x14ac:dyDescent="0.35">
      <c r="A445" t="s">
        <v>1417</v>
      </c>
      <c r="B445" t="s">
        <v>1418</v>
      </c>
      <c r="C445" s="1">
        <v>45196</v>
      </c>
      <c r="D445" t="s">
        <v>45</v>
      </c>
      <c r="E445" t="s">
        <v>17</v>
      </c>
      <c r="F445" t="s">
        <v>252</v>
      </c>
      <c r="G445" t="s">
        <v>504</v>
      </c>
      <c r="H445">
        <v>3</v>
      </c>
      <c r="I445">
        <v>378000</v>
      </c>
      <c r="J445" t="s">
        <v>46</v>
      </c>
      <c r="K445" t="s">
        <v>41</v>
      </c>
      <c r="L445">
        <v>44</v>
      </c>
      <c r="M445" t="s">
        <v>22</v>
      </c>
      <c r="N445" t="s">
        <v>1419</v>
      </c>
    </row>
    <row r="446" spans="1:14" x14ac:dyDescent="0.35">
      <c r="A446" t="s">
        <v>1420</v>
      </c>
      <c r="B446" t="s">
        <v>1421</v>
      </c>
      <c r="C446" s="1">
        <v>45547</v>
      </c>
      <c r="D446" t="s">
        <v>72</v>
      </c>
      <c r="E446" t="s">
        <v>17</v>
      </c>
      <c r="F446" t="s">
        <v>18</v>
      </c>
      <c r="G446" t="s">
        <v>452</v>
      </c>
      <c r="H446">
        <v>4</v>
      </c>
      <c r="I446">
        <v>180000</v>
      </c>
      <c r="J446" t="s">
        <v>83</v>
      </c>
      <c r="K446" t="s">
        <v>29</v>
      </c>
      <c r="L446">
        <v>36</v>
      </c>
      <c r="M446" t="s">
        <v>30</v>
      </c>
      <c r="N446" t="s">
        <v>1422</v>
      </c>
    </row>
    <row r="447" spans="1:14" x14ac:dyDescent="0.35">
      <c r="A447" t="s">
        <v>1423</v>
      </c>
      <c r="B447" t="s">
        <v>1424</v>
      </c>
      <c r="C447" s="1">
        <v>45765</v>
      </c>
      <c r="D447" t="s">
        <v>72</v>
      </c>
      <c r="E447" t="s">
        <v>17</v>
      </c>
      <c r="F447" t="s">
        <v>50</v>
      </c>
      <c r="G447" t="s">
        <v>51</v>
      </c>
      <c r="H447">
        <v>1</v>
      </c>
      <c r="I447">
        <v>45000</v>
      </c>
      <c r="J447" t="s">
        <v>28</v>
      </c>
      <c r="K447" t="s">
        <v>29</v>
      </c>
      <c r="L447">
        <v>26</v>
      </c>
      <c r="M447" t="s">
        <v>22</v>
      </c>
      <c r="N447" t="s">
        <v>1425</v>
      </c>
    </row>
    <row r="448" spans="1:14" x14ac:dyDescent="0.35">
      <c r="A448" t="s">
        <v>1426</v>
      </c>
      <c r="B448" t="s">
        <v>1427</v>
      </c>
      <c r="C448" s="1">
        <v>45766</v>
      </c>
      <c r="D448" t="s">
        <v>66</v>
      </c>
      <c r="E448" t="s">
        <v>34</v>
      </c>
      <c r="F448" t="s">
        <v>26</v>
      </c>
      <c r="G448" t="s">
        <v>221</v>
      </c>
      <c r="H448">
        <v>3</v>
      </c>
      <c r="I448">
        <v>252000</v>
      </c>
      <c r="J448" t="s">
        <v>46</v>
      </c>
      <c r="K448" t="s">
        <v>41</v>
      </c>
      <c r="L448">
        <v>5</v>
      </c>
      <c r="M448" t="s">
        <v>22</v>
      </c>
      <c r="N448" t="s">
        <v>1428</v>
      </c>
    </row>
    <row r="449" spans="1:14" x14ac:dyDescent="0.35">
      <c r="A449" t="s">
        <v>1429</v>
      </c>
      <c r="B449" t="s">
        <v>1430</v>
      </c>
      <c r="C449" s="1">
        <v>45538</v>
      </c>
      <c r="D449" t="s">
        <v>16</v>
      </c>
      <c r="E449" t="s">
        <v>34</v>
      </c>
      <c r="F449" t="s">
        <v>56</v>
      </c>
      <c r="G449" t="s">
        <v>116</v>
      </c>
      <c r="H449">
        <v>3</v>
      </c>
      <c r="I449">
        <v>420000</v>
      </c>
      <c r="J449" t="s">
        <v>28</v>
      </c>
      <c r="K449" t="s">
        <v>41</v>
      </c>
      <c r="L449">
        <v>11</v>
      </c>
      <c r="M449" t="s">
        <v>22</v>
      </c>
      <c r="N449" t="s">
        <v>1431</v>
      </c>
    </row>
    <row r="450" spans="1:14" x14ac:dyDescent="0.35">
      <c r="A450" t="s">
        <v>1432</v>
      </c>
      <c r="B450" t="s">
        <v>1433</v>
      </c>
      <c r="C450" s="1">
        <v>45209</v>
      </c>
      <c r="D450" t="s">
        <v>66</v>
      </c>
      <c r="E450" t="s">
        <v>17</v>
      </c>
      <c r="F450" t="s">
        <v>163</v>
      </c>
      <c r="G450" t="s">
        <v>536</v>
      </c>
      <c r="H450">
        <v>3</v>
      </c>
      <c r="I450">
        <v>216000</v>
      </c>
      <c r="J450" t="s">
        <v>83</v>
      </c>
      <c r="K450" t="s">
        <v>21</v>
      </c>
      <c r="L450">
        <v>33</v>
      </c>
      <c r="M450" t="s">
        <v>30</v>
      </c>
      <c r="N450" t="s">
        <v>1434</v>
      </c>
    </row>
    <row r="451" spans="1:14" x14ac:dyDescent="0.35">
      <c r="A451" t="s">
        <v>1435</v>
      </c>
      <c r="B451" t="s">
        <v>1436</v>
      </c>
      <c r="C451" s="1">
        <v>45467</v>
      </c>
      <c r="D451" t="s">
        <v>72</v>
      </c>
      <c r="E451" t="s">
        <v>17</v>
      </c>
      <c r="F451" t="s">
        <v>56</v>
      </c>
      <c r="G451" t="s">
        <v>508</v>
      </c>
      <c r="H451">
        <v>4</v>
      </c>
      <c r="I451">
        <v>180000</v>
      </c>
      <c r="J451" t="s">
        <v>20</v>
      </c>
      <c r="K451" t="s">
        <v>29</v>
      </c>
      <c r="L451">
        <v>37</v>
      </c>
      <c r="M451" t="s">
        <v>22</v>
      </c>
      <c r="N451" t="s">
        <v>1437</v>
      </c>
    </row>
    <row r="452" spans="1:14" x14ac:dyDescent="0.35">
      <c r="A452" t="s">
        <v>1438</v>
      </c>
      <c r="B452" t="s">
        <v>1439</v>
      </c>
      <c r="C452" s="1">
        <v>45764</v>
      </c>
      <c r="D452" t="s">
        <v>66</v>
      </c>
      <c r="E452" t="s">
        <v>17</v>
      </c>
      <c r="F452" t="s">
        <v>61</v>
      </c>
      <c r="G452" t="s">
        <v>156</v>
      </c>
      <c r="H452">
        <v>4</v>
      </c>
      <c r="I452">
        <v>288000</v>
      </c>
      <c r="J452" t="s">
        <v>20</v>
      </c>
      <c r="K452" t="s">
        <v>21</v>
      </c>
      <c r="L452">
        <v>27</v>
      </c>
      <c r="M452" t="s">
        <v>22</v>
      </c>
      <c r="N452" t="s">
        <v>1440</v>
      </c>
    </row>
    <row r="453" spans="1:14" x14ac:dyDescent="0.35">
      <c r="A453" t="s">
        <v>1441</v>
      </c>
      <c r="B453" t="s">
        <v>1442</v>
      </c>
      <c r="C453" s="1">
        <v>45439</v>
      </c>
      <c r="D453" t="s">
        <v>16</v>
      </c>
      <c r="E453" t="s">
        <v>55</v>
      </c>
      <c r="F453" t="s">
        <v>39</v>
      </c>
      <c r="G453" t="s">
        <v>40</v>
      </c>
      <c r="H453">
        <v>4</v>
      </c>
      <c r="I453">
        <v>560000</v>
      </c>
      <c r="J453" t="s">
        <v>83</v>
      </c>
      <c r="K453" t="s">
        <v>41</v>
      </c>
      <c r="L453">
        <v>23</v>
      </c>
      <c r="M453" t="s">
        <v>22</v>
      </c>
      <c r="N453" t="s">
        <v>1443</v>
      </c>
    </row>
    <row r="454" spans="1:14" x14ac:dyDescent="0.35">
      <c r="A454" t="s">
        <v>1444</v>
      </c>
      <c r="B454" t="s">
        <v>1445</v>
      </c>
      <c r="C454" s="1">
        <v>45368</v>
      </c>
      <c r="D454" t="s">
        <v>72</v>
      </c>
      <c r="E454" t="s">
        <v>34</v>
      </c>
      <c r="F454" t="s">
        <v>61</v>
      </c>
      <c r="G454" t="s">
        <v>290</v>
      </c>
      <c r="H454">
        <v>2</v>
      </c>
      <c r="I454">
        <v>126000</v>
      </c>
      <c r="J454" t="s">
        <v>83</v>
      </c>
      <c r="K454" t="s">
        <v>41</v>
      </c>
      <c r="L454">
        <v>52</v>
      </c>
      <c r="M454" t="s">
        <v>30</v>
      </c>
      <c r="N454" t="s">
        <v>1446</v>
      </c>
    </row>
    <row r="455" spans="1:14" x14ac:dyDescent="0.35">
      <c r="A455" t="s">
        <v>1447</v>
      </c>
      <c r="B455" t="s">
        <v>1448</v>
      </c>
      <c r="C455" s="1">
        <v>45767</v>
      </c>
      <c r="D455" t="s">
        <v>45</v>
      </c>
      <c r="E455" t="s">
        <v>55</v>
      </c>
      <c r="F455" t="s">
        <v>67</v>
      </c>
      <c r="G455" t="s">
        <v>68</v>
      </c>
      <c r="H455">
        <v>5</v>
      </c>
      <c r="I455">
        <v>540000</v>
      </c>
      <c r="J455" t="s">
        <v>83</v>
      </c>
      <c r="K455" t="s">
        <v>21</v>
      </c>
      <c r="L455">
        <v>18</v>
      </c>
      <c r="M455" t="s">
        <v>22</v>
      </c>
      <c r="N455" t="s">
        <v>1449</v>
      </c>
    </row>
    <row r="456" spans="1:14" x14ac:dyDescent="0.35">
      <c r="A456" t="s">
        <v>1450</v>
      </c>
      <c r="B456" t="s">
        <v>1451</v>
      </c>
      <c r="C456" s="1">
        <v>45276</v>
      </c>
      <c r="D456" t="s">
        <v>72</v>
      </c>
      <c r="E456" t="s">
        <v>55</v>
      </c>
      <c r="F456" t="s">
        <v>163</v>
      </c>
      <c r="G456" t="s">
        <v>164</v>
      </c>
      <c r="H456">
        <v>5</v>
      </c>
      <c r="I456">
        <v>225000</v>
      </c>
      <c r="J456" t="s">
        <v>108</v>
      </c>
      <c r="K456" t="s">
        <v>29</v>
      </c>
      <c r="L456">
        <v>32</v>
      </c>
      <c r="M456" t="s">
        <v>30</v>
      </c>
      <c r="N456" t="s">
        <v>1452</v>
      </c>
    </row>
    <row r="457" spans="1:14" x14ac:dyDescent="0.35">
      <c r="A457" t="s">
        <v>1453</v>
      </c>
      <c r="B457" t="s">
        <v>1454</v>
      </c>
      <c r="C457" s="1">
        <v>45201</v>
      </c>
      <c r="D457" t="s">
        <v>66</v>
      </c>
      <c r="E457" t="s">
        <v>34</v>
      </c>
      <c r="F457" t="s">
        <v>67</v>
      </c>
      <c r="G457" t="s">
        <v>112</v>
      </c>
      <c r="H457">
        <v>2</v>
      </c>
      <c r="I457">
        <v>120000</v>
      </c>
      <c r="J457" t="s">
        <v>20</v>
      </c>
      <c r="K457" t="s">
        <v>29</v>
      </c>
      <c r="L457">
        <v>7</v>
      </c>
      <c r="M457" t="s">
        <v>30</v>
      </c>
      <c r="N457" t="s">
        <v>1455</v>
      </c>
    </row>
    <row r="458" spans="1:14" x14ac:dyDescent="0.35">
      <c r="A458" t="s">
        <v>1456</v>
      </c>
      <c r="B458" t="s">
        <v>1457</v>
      </c>
      <c r="C458" s="1">
        <v>45119</v>
      </c>
      <c r="D458" t="s">
        <v>16</v>
      </c>
      <c r="E458" t="s">
        <v>17</v>
      </c>
      <c r="F458" t="s">
        <v>18</v>
      </c>
      <c r="G458" t="s">
        <v>181</v>
      </c>
      <c r="H458">
        <v>4</v>
      </c>
      <c r="I458">
        <v>400000</v>
      </c>
      <c r="J458" t="s">
        <v>20</v>
      </c>
      <c r="K458" t="s">
        <v>29</v>
      </c>
      <c r="L458">
        <v>27</v>
      </c>
      <c r="M458" t="s">
        <v>22</v>
      </c>
      <c r="N458" t="s">
        <v>1458</v>
      </c>
    </row>
    <row r="459" spans="1:14" x14ac:dyDescent="0.35">
      <c r="A459" t="s">
        <v>1459</v>
      </c>
      <c r="B459" t="s">
        <v>1460</v>
      </c>
      <c r="C459" s="1">
        <v>45111</v>
      </c>
      <c r="D459" t="s">
        <v>16</v>
      </c>
      <c r="E459" t="s">
        <v>55</v>
      </c>
      <c r="F459" t="s">
        <v>39</v>
      </c>
      <c r="G459" t="s">
        <v>40</v>
      </c>
      <c r="H459">
        <v>3</v>
      </c>
      <c r="I459">
        <v>420000</v>
      </c>
      <c r="J459" t="s">
        <v>28</v>
      </c>
      <c r="K459" t="s">
        <v>41</v>
      </c>
      <c r="L459">
        <v>49</v>
      </c>
      <c r="M459" t="s">
        <v>22</v>
      </c>
      <c r="N459" t="s">
        <v>1461</v>
      </c>
    </row>
    <row r="460" spans="1:14" x14ac:dyDescent="0.35">
      <c r="A460" t="s">
        <v>1462</v>
      </c>
      <c r="B460" t="s">
        <v>1463</v>
      </c>
      <c r="C460" s="1">
        <v>45315</v>
      </c>
      <c r="D460" t="s">
        <v>45</v>
      </c>
      <c r="E460" t="s">
        <v>34</v>
      </c>
      <c r="F460" t="s">
        <v>56</v>
      </c>
      <c r="G460" t="s">
        <v>116</v>
      </c>
      <c r="H460">
        <v>4</v>
      </c>
      <c r="I460">
        <v>504000</v>
      </c>
      <c r="J460" t="s">
        <v>108</v>
      </c>
      <c r="K460" t="s">
        <v>41</v>
      </c>
      <c r="L460">
        <v>49</v>
      </c>
      <c r="M460" t="s">
        <v>30</v>
      </c>
      <c r="N460" t="s">
        <v>1464</v>
      </c>
    </row>
    <row r="461" spans="1:14" x14ac:dyDescent="0.35">
      <c r="A461" t="s">
        <v>1465</v>
      </c>
      <c r="B461" t="s">
        <v>1466</v>
      </c>
      <c r="C461" s="1">
        <v>45696</v>
      </c>
      <c r="D461" t="s">
        <v>45</v>
      </c>
      <c r="E461" t="s">
        <v>34</v>
      </c>
      <c r="F461" t="s">
        <v>77</v>
      </c>
      <c r="G461" t="s">
        <v>91</v>
      </c>
      <c r="H461">
        <v>4</v>
      </c>
      <c r="I461">
        <v>504000</v>
      </c>
      <c r="J461" t="s">
        <v>20</v>
      </c>
      <c r="K461" t="s">
        <v>41</v>
      </c>
      <c r="L461">
        <v>34</v>
      </c>
      <c r="M461" t="s">
        <v>30</v>
      </c>
      <c r="N461" t="s">
        <v>1467</v>
      </c>
    </row>
    <row r="462" spans="1:14" x14ac:dyDescent="0.35">
      <c r="A462" t="s">
        <v>1468</v>
      </c>
      <c r="B462" t="s">
        <v>1469</v>
      </c>
      <c r="C462" s="1">
        <v>45608</v>
      </c>
      <c r="D462" t="s">
        <v>72</v>
      </c>
      <c r="E462" t="s">
        <v>34</v>
      </c>
      <c r="F462" t="s">
        <v>39</v>
      </c>
      <c r="G462" t="s">
        <v>82</v>
      </c>
      <c r="H462">
        <v>5</v>
      </c>
      <c r="I462">
        <v>225000</v>
      </c>
      <c r="J462" t="s">
        <v>28</v>
      </c>
      <c r="K462" t="s">
        <v>29</v>
      </c>
      <c r="L462">
        <v>14</v>
      </c>
      <c r="M462" t="s">
        <v>30</v>
      </c>
      <c r="N462" t="s">
        <v>1470</v>
      </c>
    </row>
    <row r="463" spans="1:14" x14ac:dyDescent="0.35">
      <c r="A463" t="s">
        <v>1471</v>
      </c>
      <c r="B463" t="s">
        <v>1472</v>
      </c>
      <c r="C463" s="1">
        <v>45186</v>
      </c>
      <c r="D463" t="s">
        <v>72</v>
      </c>
      <c r="E463" t="s">
        <v>55</v>
      </c>
      <c r="F463" t="s">
        <v>50</v>
      </c>
      <c r="G463" t="s">
        <v>107</v>
      </c>
      <c r="H463">
        <v>4</v>
      </c>
      <c r="I463">
        <v>180000</v>
      </c>
      <c r="J463" t="s">
        <v>83</v>
      </c>
      <c r="K463" t="s">
        <v>29</v>
      </c>
      <c r="L463">
        <v>45</v>
      </c>
      <c r="M463" t="s">
        <v>22</v>
      </c>
      <c r="N463" t="s">
        <v>1473</v>
      </c>
    </row>
    <row r="464" spans="1:14" x14ac:dyDescent="0.35">
      <c r="A464" t="s">
        <v>1474</v>
      </c>
      <c r="B464" t="s">
        <v>1475</v>
      </c>
      <c r="C464" s="1">
        <v>45480</v>
      </c>
      <c r="D464" t="s">
        <v>16</v>
      </c>
      <c r="E464" t="s">
        <v>34</v>
      </c>
      <c r="F464" t="s">
        <v>18</v>
      </c>
      <c r="G464" t="s">
        <v>452</v>
      </c>
      <c r="H464">
        <v>3</v>
      </c>
      <c r="I464">
        <v>420000</v>
      </c>
      <c r="J464" t="s">
        <v>20</v>
      </c>
      <c r="K464" t="s">
        <v>41</v>
      </c>
      <c r="L464">
        <v>19</v>
      </c>
      <c r="M464" t="s">
        <v>30</v>
      </c>
      <c r="N464" t="s">
        <v>1476</v>
      </c>
    </row>
    <row r="465" spans="1:14" x14ac:dyDescent="0.35">
      <c r="A465" t="s">
        <v>1477</v>
      </c>
      <c r="B465" t="s">
        <v>1478</v>
      </c>
      <c r="C465" s="1">
        <v>45420</v>
      </c>
      <c r="D465" t="s">
        <v>66</v>
      </c>
      <c r="E465" t="s">
        <v>34</v>
      </c>
      <c r="F465" t="s">
        <v>56</v>
      </c>
      <c r="G465" t="s">
        <v>116</v>
      </c>
      <c r="H465">
        <v>1</v>
      </c>
      <c r="I465">
        <v>84000</v>
      </c>
      <c r="J465" t="s">
        <v>20</v>
      </c>
      <c r="K465" t="s">
        <v>41</v>
      </c>
      <c r="L465">
        <v>18</v>
      </c>
      <c r="M465" t="s">
        <v>30</v>
      </c>
      <c r="N465" t="s">
        <v>1479</v>
      </c>
    </row>
    <row r="466" spans="1:14" x14ac:dyDescent="0.35">
      <c r="A466" t="s">
        <v>1480</v>
      </c>
      <c r="B466" t="s">
        <v>1481</v>
      </c>
      <c r="C466" s="1">
        <v>45248</v>
      </c>
      <c r="D466" t="s">
        <v>16</v>
      </c>
      <c r="E466" t="s">
        <v>55</v>
      </c>
      <c r="F466" t="s">
        <v>61</v>
      </c>
      <c r="G466" t="s">
        <v>99</v>
      </c>
      <c r="H466">
        <v>3</v>
      </c>
      <c r="I466">
        <v>300000</v>
      </c>
      <c r="J466" t="s">
        <v>83</v>
      </c>
      <c r="K466" t="s">
        <v>29</v>
      </c>
      <c r="L466">
        <v>8</v>
      </c>
      <c r="M466" t="s">
        <v>30</v>
      </c>
      <c r="N466" t="s">
        <v>1482</v>
      </c>
    </row>
    <row r="467" spans="1:14" x14ac:dyDescent="0.35">
      <c r="A467" t="s">
        <v>1483</v>
      </c>
      <c r="B467" t="s">
        <v>1484</v>
      </c>
      <c r="C467" s="1">
        <v>45057</v>
      </c>
      <c r="D467" t="s">
        <v>72</v>
      </c>
      <c r="E467" t="s">
        <v>55</v>
      </c>
      <c r="F467" t="s">
        <v>252</v>
      </c>
      <c r="G467" t="s">
        <v>307</v>
      </c>
      <c r="H467">
        <v>2</v>
      </c>
      <c r="I467">
        <v>108000</v>
      </c>
      <c r="J467" t="s">
        <v>46</v>
      </c>
      <c r="K467" t="s">
        <v>21</v>
      </c>
      <c r="L467">
        <v>20</v>
      </c>
      <c r="M467" t="s">
        <v>30</v>
      </c>
      <c r="N467" t="s">
        <v>1485</v>
      </c>
    </row>
    <row r="468" spans="1:14" x14ac:dyDescent="0.35">
      <c r="A468" t="s">
        <v>1486</v>
      </c>
      <c r="B468" t="s">
        <v>1487</v>
      </c>
      <c r="C468" s="1">
        <v>45185</v>
      </c>
      <c r="D468" t="s">
        <v>66</v>
      </c>
      <c r="E468" t="s">
        <v>34</v>
      </c>
      <c r="F468" t="s">
        <v>26</v>
      </c>
      <c r="G468" t="s">
        <v>27</v>
      </c>
      <c r="H468">
        <v>4</v>
      </c>
      <c r="I468">
        <v>240000</v>
      </c>
      <c r="J468" t="s">
        <v>20</v>
      </c>
      <c r="K468" t="s">
        <v>29</v>
      </c>
      <c r="L468">
        <v>17</v>
      </c>
      <c r="M468" t="s">
        <v>22</v>
      </c>
      <c r="N468" t="s">
        <v>1488</v>
      </c>
    </row>
    <row r="469" spans="1:14" x14ac:dyDescent="0.35">
      <c r="A469" t="s">
        <v>1489</v>
      </c>
      <c r="B469" t="s">
        <v>1490</v>
      </c>
      <c r="C469" s="1">
        <v>45583</v>
      </c>
      <c r="D469" t="s">
        <v>72</v>
      </c>
      <c r="E469" t="s">
        <v>55</v>
      </c>
      <c r="F469" t="s">
        <v>67</v>
      </c>
      <c r="G469" t="s">
        <v>112</v>
      </c>
      <c r="H469">
        <v>3</v>
      </c>
      <c r="I469">
        <v>189000</v>
      </c>
      <c r="J469" t="s">
        <v>108</v>
      </c>
      <c r="K469" t="s">
        <v>41</v>
      </c>
      <c r="L469">
        <v>21</v>
      </c>
      <c r="M469" t="s">
        <v>30</v>
      </c>
      <c r="N469" t="s">
        <v>1491</v>
      </c>
    </row>
    <row r="470" spans="1:14" x14ac:dyDescent="0.35">
      <c r="A470" t="s">
        <v>1492</v>
      </c>
      <c r="B470" t="s">
        <v>1493</v>
      </c>
      <c r="C470" s="1">
        <v>45153</v>
      </c>
      <c r="D470" t="s">
        <v>16</v>
      </c>
      <c r="E470" t="s">
        <v>34</v>
      </c>
      <c r="F470" t="s">
        <v>18</v>
      </c>
      <c r="G470" t="s">
        <v>19</v>
      </c>
      <c r="H470">
        <v>1</v>
      </c>
      <c r="I470">
        <v>100000</v>
      </c>
      <c r="J470" t="s">
        <v>28</v>
      </c>
      <c r="K470" t="s">
        <v>29</v>
      </c>
      <c r="L470">
        <v>27</v>
      </c>
      <c r="M470" t="s">
        <v>30</v>
      </c>
      <c r="N470" t="s">
        <v>1494</v>
      </c>
    </row>
    <row r="471" spans="1:14" x14ac:dyDescent="0.35">
      <c r="A471" t="s">
        <v>1495</v>
      </c>
      <c r="B471" t="s">
        <v>1496</v>
      </c>
      <c r="C471" s="1">
        <v>45573</v>
      </c>
      <c r="D471" t="s">
        <v>66</v>
      </c>
      <c r="E471" t="s">
        <v>55</v>
      </c>
      <c r="F471" t="s">
        <v>61</v>
      </c>
      <c r="G471" t="s">
        <v>95</v>
      </c>
      <c r="H471">
        <v>5</v>
      </c>
      <c r="I471">
        <v>420000</v>
      </c>
      <c r="J471" t="s">
        <v>108</v>
      </c>
      <c r="K471" t="s">
        <v>41</v>
      </c>
      <c r="L471">
        <v>51</v>
      </c>
      <c r="M471" t="s">
        <v>22</v>
      </c>
      <c r="N471" t="s">
        <v>1497</v>
      </c>
    </row>
    <row r="472" spans="1:14" x14ac:dyDescent="0.35">
      <c r="A472" t="s">
        <v>1498</v>
      </c>
      <c r="B472" t="s">
        <v>1499</v>
      </c>
      <c r="C472" s="1">
        <v>45236</v>
      </c>
      <c r="D472" t="s">
        <v>45</v>
      </c>
      <c r="E472" t="s">
        <v>55</v>
      </c>
      <c r="F472" t="s">
        <v>50</v>
      </c>
      <c r="G472" t="s">
        <v>51</v>
      </c>
      <c r="H472">
        <v>4</v>
      </c>
      <c r="I472">
        <v>504000</v>
      </c>
      <c r="J472" t="s">
        <v>108</v>
      </c>
      <c r="K472" t="s">
        <v>41</v>
      </c>
      <c r="L472">
        <v>40</v>
      </c>
      <c r="M472" t="s">
        <v>22</v>
      </c>
      <c r="N472" t="s">
        <v>1500</v>
      </c>
    </row>
    <row r="473" spans="1:14" x14ac:dyDescent="0.35">
      <c r="A473" t="s">
        <v>1501</v>
      </c>
      <c r="B473" t="s">
        <v>1502</v>
      </c>
      <c r="C473" s="1">
        <v>45394</v>
      </c>
      <c r="D473" t="s">
        <v>45</v>
      </c>
      <c r="E473" t="s">
        <v>34</v>
      </c>
      <c r="F473" t="s">
        <v>18</v>
      </c>
      <c r="G473" t="s">
        <v>297</v>
      </c>
      <c r="H473">
        <v>2</v>
      </c>
      <c r="I473">
        <v>216000</v>
      </c>
      <c r="J473" t="s">
        <v>28</v>
      </c>
      <c r="K473" t="s">
        <v>21</v>
      </c>
      <c r="L473">
        <v>34</v>
      </c>
      <c r="M473" t="s">
        <v>22</v>
      </c>
      <c r="N473" t="s">
        <v>1503</v>
      </c>
    </row>
    <row r="474" spans="1:14" x14ac:dyDescent="0.35">
      <c r="A474" t="s">
        <v>1504</v>
      </c>
      <c r="B474" t="s">
        <v>1505</v>
      </c>
      <c r="C474" s="1">
        <v>45366</v>
      </c>
      <c r="D474" t="s">
        <v>16</v>
      </c>
      <c r="E474" t="s">
        <v>55</v>
      </c>
      <c r="F474" t="s">
        <v>252</v>
      </c>
      <c r="G474" t="s">
        <v>286</v>
      </c>
      <c r="H474">
        <v>3</v>
      </c>
      <c r="I474">
        <v>300000</v>
      </c>
      <c r="J474" t="s">
        <v>20</v>
      </c>
      <c r="K474" t="s">
        <v>29</v>
      </c>
      <c r="L474">
        <v>13</v>
      </c>
      <c r="M474" t="s">
        <v>30</v>
      </c>
      <c r="N474" t="s">
        <v>1506</v>
      </c>
    </row>
    <row r="475" spans="1:14" x14ac:dyDescent="0.35">
      <c r="A475" t="s">
        <v>1507</v>
      </c>
      <c r="B475" t="s">
        <v>1508</v>
      </c>
      <c r="C475" s="1">
        <v>45363</v>
      </c>
      <c r="D475" t="s">
        <v>45</v>
      </c>
      <c r="E475" t="s">
        <v>34</v>
      </c>
      <c r="F475" t="s">
        <v>39</v>
      </c>
      <c r="G475" t="s">
        <v>188</v>
      </c>
      <c r="H475">
        <v>2</v>
      </c>
      <c r="I475">
        <v>180000</v>
      </c>
      <c r="J475" t="s">
        <v>28</v>
      </c>
      <c r="K475" t="s">
        <v>29</v>
      </c>
      <c r="L475">
        <v>49</v>
      </c>
      <c r="M475" t="s">
        <v>30</v>
      </c>
      <c r="N475" t="s">
        <v>1509</v>
      </c>
    </row>
    <row r="476" spans="1:14" x14ac:dyDescent="0.35">
      <c r="A476" t="s">
        <v>1510</v>
      </c>
      <c r="B476" t="s">
        <v>1511</v>
      </c>
      <c r="C476" s="1">
        <v>45348</v>
      </c>
      <c r="D476" t="s">
        <v>16</v>
      </c>
      <c r="E476" t="s">
        <v>17</v>
      </c>
      <c r="F476" t="s">
        <v>18</v>
      </c>
      <c r="G476" t="s">
        <v>452</v>
      </c>
      <c r="H476">
        <v>2</v>
      </c>
      <c r="I476">
        <v>200000</v>
      </c>
      <c r="J476" t="s">
        <v>108</v>
      </c>
      <c r="K476" t="s">
        <v>29</v>
      </c>
      <c r="L476">
        <v>15</v>
      </c>
      <c r="M476" t="s">
        <v>30</v>
      </c>
      <c r="N476" t="s">
        <v>1512</v>
      </c>
    </row>
    <row r="477" spans="1:14" x14ac:dyDescent="0.35">
      <c r="A477" t="s">
        <v>1513</v>
      </c>
      <c r="B477" t="s">
        <v>1514</v>
      </c>
      <c r="C477" s="1">
        <v>45149</v>
      </c>
      <c r="D477" t="s">
        <v>72</v>
      </c>
      <c r="E477" t="s">
        <v>17</v>
      </c>
      <c r="F477" t="s">
        <v>61</v>
      </c>
      <c r="G477" t="s">
        <v>62</v>
      </c>
      <c r="H477">
        <v>5</v>
      </c>
      <c r="I477">
        <v>315000</v>
      </c>
      <c r="J477" t="s">
        <v>108</v>
      </c>
      <c r="K477" t="s">
        <v>41</v>
      </c>
      <c r="L477">
        <v>34</v>
      </c>
      <c r="M477" t="s">
        <v>22</v>
      </c>
      <c r="N477" t="s">
        <v>1515</v>
      </c>
    </row>
    <row r="478" spans="1:14" x14ac:dyDescent="0.35">
      <c r="A478" t="s">
        <v>1516</v>
      </c>
      <c r="B478" t="s">
        <v>1517</v>
      </c>
      <c r="C478" s="1">
        <v>45388</v>
      </c>
      <c r="D478" t="s">
        <v>66</v>
      </c>
      <c r="E478" t="s">
        <v>17</v>
      </c>
      <c r="F478" t="s">
        <v>67</v>
      </c>
      <c r="G478" t="s">
        <v>68</v>
      </c>
      <c r="H478">
        <v>3</v>
      </c>
      <c r="I478">
        <v>216000</v>
      </c>
      <c r="J478" t="s">
        <v>83</v>
      </c>
      <c r="K478" t="s">
        <v>21</v>
      </c>
      <c r="L478">
        <v>11</v>
      </c>
      <c r="M478" t="s">
        <v>22</v>
      </c>
      <c r="N478" t="s">
        <v>1518</v>
      </c>
    </row>
    <row r="479" spans="1:14" x14ac:dyDescent="0.35">
      <c r="A479" t="s">
        <v>1519</v>
      </c>
      <c r="B479" t="s">
        <v>1520</v>
      </c>
      <c r="C479" s="1">
        <v>45351</v>
      </c>
      <c r="D479" t="s">
        <v>45</v>
      </c>
      <c r="E479" t="s">
        <v>17</v>
      </c>
      <c r="F479" t="s">
        <v>18</v>
      </c>
      <c r="G479" t="s">
        <v>297</v>
      </c>
      <c r="H479">
        <v>5</v>
      </c>
      <c r="I479">
        <v>540000</v>
      </c>
      <c r="J479" t="s">
        <v>46</v>
      </c>
      <c r="K479" t="s">
        <v>21</v>
      </c>
      <c r="L479">
        <v>48</v>
      </c>
      <c r="M479" t="s">
        <v>22</v>
      </c>
      <c r="N479" t="s">
        <v>1521</v>
      </c>
    </row>
    <row r="480" spans="1:14" x14ac:dyDescent="0.35">
      <c r="A480" t="s">
        <v>1522</v>
      </c>
      <c r="B480" t="s">
        <v>1523</v>
      </c>
      <c r="C480" s="1">
        <v>45058</v>
      </c>
      <c r="D480" t="s">
        <v>72</v>
      </c>
      <c r="E480" t="s">
        <v>55</v>
      </c>
      <c r="F480" t="s">
        <v>252</v>
      </c>
      <c r="G480" t="s">
        <v>286</v>
      </c>
      <c r="H480">
        <v>5</v>
      </c>
      <c r="I480">
        <v>315000</v>
      </c>
      <c r="J480" t="s">
        <v>108</v>
      </c>
      <c r="K480" t="s">
        <v>41</v>
      </c>
      <c r="L480">
        <v>56</v>
      </c>
      <c r="M480" t="s">
        <v>30</v>
      </c>
      <c r="N480" t="s">
        <v>1524</v>
      </c>
    </row>
    <row r="481" spans="1:14" x14ac:dyDescent="0.35">
      <c r="A481" t="s">
        <v>1525</v>
      </c>
      <c r="B481" t="s">
        <v>1526</v>
      </c>
      <c r="C481" s="1">
        <v>45439</v>
      </c>
      <c r="D481" t="s">
        <v>66</v>
      </c>
      <c r="E481" t="s">
        <v>34</v>
      </c>
      <c r="F481" t="s">
        <v>56</v>
      </c>
      <c r="G481" t="s">
        <v>144</v>
      </c>
      <c r="H481">
        <v>4</v>
      </c>
      <c r="I481">
        <v>240000</v>
      </c>
      <c r="J481" t="s">
        <v>83</v>
      </c>
      <c r="K481" t="s">
        <v>29</v>
      </c>
      <c r="L481">
        <v>16</v>
      </c>
      <c r="M481" t="s">
        <v>30</v>
      </c>
      <c r="N481" t="s">
        <v>1527</v>
      </c>
    </row>
    <row r="482" spans="1:14" x14ac:dyDescent="0.35">
      <c r="A482" t="s">
        <v>1528</v>
      </c>
      <c r="B482" t="s">
        <v>1529</v>
      </c>
      <c r="C482" s="1">
        <v>45298</v>
      </c>
      <c r="D482" t="s">
        <v>45</v>
      </c>
      <c r="E482" t="s">
        <v>34</v>
      </c>
      <c r="F482" t="s">
        <v>56</v>
      </c>
      <c r="G482" t="s">
        <v>152</v>
      </c>
      <c r="H482">
        <v>1</v>
      </c>
      <c r="I482">
        <v>108000</v>
      </c>
      <c r="J482" t="s">
        <v>20</v>
      </c>
      <c r="K482" t="s">
        <v>21</v>
      </c>
      <c r="L482">
        <v>33</v>
      </c>
      <c r="M482" t="s">
        <v>30</v>
      </c>
      <c r="N482" t="s">
        <v>1530</v>
      </c>
    </row>
    <row r="483" spans="1:14" x14ac:dyDescent="0.35">
      <c r="A483" t="s">
        <v>1531</v>
      </c>
      <c r="B483" t="s">
        <v>1532</v>
      </c>
      <c r="C483" s="1">
        <v>45627</v>
      </c>
      <c r="D483" t="s">
        <v>16</v>
      </c>
      <c r="E483" t="s">
        <v>55</v>
      </c>
      <c r="F483" t="s">
        <v>26</v>
      </c>
      <c r="G483" t="s">
        <v>124</v>
      </c>
      <c r="H483">
        <v>3</v>
      </c>
      <c r="I483">
        <v>360000</v>
      </c>
      <c r="J483" t="s">
        <v>28</v>
      </c>
      <c r="K483" t="s">
        <v>21</v>
      </c>
      <c r="L483">
        <v>53</v>
      </c>
      <c r="M483" t="s">
        <v>30</v>
      </c>
      <c r="N483" t="s">
        <v>1533</v>
      </c>
    </row>
    <row r="484" spans="1:14" x14ac:dyDescent="0.35">
      <c r="A484" t="s">
        <v>1534</v>
      </c>
      <c r="B484" t="s">
        <v>1535</v>
      </c>
      <c r="C484" s="1">
        <v>45630</v>
      </c>
      <c r="D484" t="s">
        <v>72</v>
      </c>
      <c r="E484" t="s">
        <v>34</v>
      </c>
      <c r="F484" t="s">
        <v>18</v>
      </c>
      <c r="G484" t="s">
        <v>297</v>
      </c>
      <c r="H484">
        <v>4</v>
      </c>
      <c r="I484">
        <v>180000</v>
      </c>
      <c r="J484" t="s">
        <v>46</v>
      </c>
      <c r="K484" t="s">
        <v>29</v>
      </c>
      <c r="L484">
        <v>24</v>
      </c>
      <c r="M484" t="s">
        <v>22</v>
      </c>
      <c r="N484" t="s">
        <v>1536</v>
      </c>
    </row>
    <row r="485" spans="1:14" x14ac:dyDescent="0.35">
      <c r="A485" t="s">
        <v>1537</v>
      </c>
      <c r="B485" t="s">
        <v>1538</v>
      </c>
      <c r="C485" s="1">
        <v>45518</v>
      </c>
      <c r="D485" t="s">
        <v>72</v>
      </c>
      <c r="E485" t="s">
        <v>17</v>
      </c>
      <c r="F485" t="s">
        <v>18</v>
      </c>
      <c r="G485" t="s">
        <v>181</v>
      </c>
      <c r="H485">
        <v>5</v>
      </c>
      <c r="I485">
        <v>315000</v>
      </c>
      <c r="J485" t="s">
        <v>20</v>
      </c>
      <c r="K485" t="s">
        <v>41</v>
      </c>
      <c r="L485">
        <v>36</v>
      </c>
      <c r="M485" t="s">
        <v>30</v>
      </c>
      <c r="N485" t="s">
        <v>1539</v>
      </c>
    </row>
    <row r="486" spans="1:14" x14ac:dyDescent="0.35">
      <c r="A486" t="s">
        <v>1540</v>
      </c>
      <c r="B486" t="s">
        <v>1541</v>
      </c>
      <c r="C486" s="1">
        <v>45696</v>
      </c>
      <c r="D486" t="s">
        <v>72</v>
      </c>
      <c r="E486" t="s">
        <v>17</v>
      </c>
      <c r="F486" t="s">
        <v>67</v>
      </c>
      <c r="G486" t="s">
        <v>120</v>
      </c>
      <c r="H486">
        <v>2</v>
      </c>
      <c r="I486">
        <v>90000</v>
      </c>
      <c r="J486" t="s">
        <v>20</v>
      </c>
      <c r="K486" t="s">
        <v>29</v>
      </c>
      <c r="L486">
        <v>36</v>
      </c>
      <c r="M486" t="s">
        <v>22</v>
      </c>
      <c r="N486" t="s">
        <v>1542</v>
      </c>
    </row>
    <row r="487" spans="1:14" x14ac:dyDescent="0.35">
      <c r="A487" t="s">
        <v>1543</v>
      </c>
      <c r="B487" t="s">
        <v>1544</v>
      </c>
      <c r="C487" s="1">
        <v>45743</v>
      </c>
      <c r="D487" t="s">
        <v>66</v>
      </c>
      <c r="E487" t="s">
        <v>34</v>
      </c>
      <c r="F487" t="s">
        <v>18</v>
      </c>
      <c r="G487" t="s">
        <v>19</v>
      </c>
      <c r="H487">
        <v>3</v>
      </c>
      <c r="I487">
        <v>216000</v>
      </c>
      <c r="J487" t="s">
        <v>83</v>
      </c>
      <c r="K487" t="s">
        <v>21</v>
      </c>
      <c r="L487">
        <v>44</v>
      </c>
      <c r="M487" t="s">
        <v>30</v>
      </c>
      <c r="N487" t="s">
        <v>1545</v>
      </c>
    </row>
    <row r="488" spans="1:14" x14ac:dyDescent="0.35">
      <c r="A488" t="s">
        <v>1546</v>
      </c>
      <c r="B488" t="s">
        <v>1547</v>
      </c>
      <c r="C488" s="1">
        <v>45558</v>
      </c>
      <c r="D488" t="s">
        <v>72</v>
      </c>
      <c r="E488" t="s">
        <v>17</v>
      </c>
      <c r="F488" t="s">
        <v>61</v>
      </c>
      <c r="G488" t="s">
        <v>156</v>
      </c>
      <c r="H488">
        <v>4</v>
      </c>
      <c r="I488">
        <v>252000</v>
      </c>
      <c r="J488" t="s">
        <v>46</v>
      </c>
      <c r="K488" t="s">
        <v>41</v>
      </c>
      <c r="L488">
        <v>60</v>
      </c>
      <c r="M488" t="s">
        <v>22</v>
      </c>
      <c r="N488" t="s">
        <v>1548</v>
      </c>
    </row>
    <row r="489" spans="1:14" x14ac:dyDescent="0.35">
      <c r="A489" t="s">
        <v>1549</v>
      </c>
      <c r="B489" t="s">
        <v>1550</v>
      </c>
      <c r="C489" s="1">
        <v>45407</v>
      </c>
      <c r="D489" t="s">
        <v>16</v>
      </c>
      <c r="E489" t="s">
        <v>17</v>
      </c>
      <c r="F489" t="s">
        <v>26</v>
      </c>
      <c r="G489" t="s">
        <v>27</v>
      </c>
      <c r="H489">
        <v>3</v>
      </c>
      <c r="I489">
        <v>420000</v>
      </c>
      <c r="J489" t="s">
        <v>46</v>
      </c>
      <c r="K489" t="s">
        <v>41</v>
      </c>
      <c r="L489">
        <v>11</v>
      </c>
      <c r="M489" t="s">
        <v>30</v>
      </c>
      <c r="N489" t="s">
        <v>1551</v>
      </c>
    </row>
    <row r="490" spans="1:14" x14ac:dyDescent="0.35">
      <c r="A490" t="s">
        <v>1552</v>
      </c>
      <c r="B490" t="s">
        <v>1553</v>
      </c>
      <c r="C490" s="1">
        <v>45767</v>
      </c>
      <c r="D490" t="s">
        <v>16</v>
      </c>
      <c r="E490" t="s">
        <v>34</v>
      </c>
      <c r="F490" t="s">
        <v>163</v>
      </c>
      <c r="G490" t="s">
        <v>214</v>
      </c>
      <c r="H490">
        <v>5</v>
      </c>
      <c r="I490">
        <v>700000</v>
      </c>
      <c r="J490" t="s">
        <v>28</v>
      </c>
      <c r="K490" t="s">
        <v>41</v>
      </c>
      <c r="L490">
        <v>14</v>
      </c>
      <c r="M490" t="s">
        <v>30</v>
      </c>
      <c r="N490" t="s">
        <v>1554</v>
      </c>
    </row>
    <row r="491" spans="1:14" x14ac:dyDescent="0.35">
      <c r="A491" t="s">
        <v>1555</v>
      </c>
      <c r="B491" t="s">
        <v>1556</v>
      </c>
      <c r="C491" s="1">
        <v>45129</v>
      </c>
      <c r="D491" t="s">
        <v>72</v>
      </c>
      <c r="E491" t="s">
        <v>17</v>
      </c>
      <c r="F491" t="s">
        <v>50</v>
      </c>
      <c r="G491" t="s">
        <v>73</v>
      </c>
      <c r="H491">
        <v>5</v>
      </c>
      <c r="I491">
        <v>270000</v>
      </c>
      <c r="J491" t="s">
        <v>108</v>
      </c>
      <c r="K491" t="s">
        <v>21</v>
      </c>
      <c r="L491">
        <v>37</v>
      </c>
      <c r="M491" t="s">
        <v>22</v>
      </c>
      <c r="N491" t="s">
        <v>1557</v>
      </c>
    </row>
    <row r="492" spans="1:14" x14ac:dyDescent="0.35">
      <c r="A492" t="s">
        <v>1558</v>
      </c>
      <c r="B492" t="s">
        <v>1559</v>
      </c>
      <c r="C492" s="1">
        <v>45513</v>
      </c>
      <c r="D492" t="s">
        <v>16</v>
      </c>
      <c r="E492" t="s">
        <v>34</v>
      </c>
      <c r="F492" t="s">
        <v>61</v>
      </c>
      <c r="G492" t="s">
        <v>95</v>
      </c>
      <c r="H492">
        <v>3</v>
      </c>
      <c r="I492">
        <v>360000</v>
      </c>
      <c r="J492" t="s">
        <v>46</v>
      </c>
      <c r="K492" t="s">
        <v>21</v>
      </c>
      <c r="L492">
        <v>56</v>
      </c>
      <c r="M492" t="s">
        <v>22</v>
      </c>
      <c r="N492" t="s">
        <v>1560</v>
      </c>
    </row>
    <row r="493" spans="1:14" x14ac:dyDescent="0.35">
      <c r="A493" t="s">
        <v>1561</v>
      </c>
      <c r="B493" t="s">
        <v>1562</v>
      </c>
      <c r="C493" s="1">
        <v>45731</v>
      </c>
      <c r="D493" t="s">
        <v>72</v>
      </c>
      <c r="E493" t="s">
        <v>17</v>
      </c>
      <c r="F493" t="s">
        <v>67</v>
      </c>
      <c r="G493" t="s">
        <v>120</v>
      </c>
      <c r="H493">
        <v>1</v>
      </c>
      <c r="I493">
        <v>63000</v>
      </c>
      <c r="J493" t="s">
        <v>108</v>
      </c>
      <c r="K493" t="s">
        <v>41</v>
      </c>
      <c r="L493">
        <v>5</v>
      </c>
      <c r="M493" t="s">
        <v>22</v>
      </c>
      <c r="N493" t="s">
        <v>1563</v>
      </c>
    </row>
    <row r="494" spans="1:14" x14ac:dyDescent="0.35">
      <c r="A494" t="s">
        <v>1564</v>
      </c>
      <c r="B494" t="s">
        <v>1565</v>
      </c>
      <c r="C494" s="1">
        <v>45468</v>
      </c>
      <c r="D494" t="s">
        <v>66</v>
      </c>
      <c r="E494" t="s">
        <v>55</v>
      </c>
      <c r="F494" t="s">
        <v>50</v>
      </c>
      <c r="G494" t="s">
        <v>132</v>
      </c>
      <c r="H494">
        <v>1</v>
      </c>
      <c r="I494">
        <v>84000</v>
      </c>
      <c r="J494" t="s">
        <v>83</v>
      </c>
      <c r="K494" t="s">
        <v>41</v>
      </c>
      <c r="L494">
        <v>6</v>
      </c>
      <c r="M494" t="s">
        <v>30</v>
      </c>
      <c r="N494" t="s">
        <v>1566</v>
      </c>
    </row>
    <row r="495" spans="1:14" x14ac:dyDescent="0.35">
      <c r="A495" t="s">
        <v>1567</v>
      </c>
      <c r="B495" t="s">
        <v>1568</v>
      </c>
      <c r="C495" s="1">
        <v>45063</v>
      </c>
      <c r="D495" t="s">
        <v>72</v>
      </c>
      <c r="E495" t="s">
        <v>17</v>
      </c>
      <c r="F495" t="s">
        <v>61</v>
      </c>
      <c r="G495" t="s">
        <v>99</v>
      </c>
      <c r="H495">
        <v>5</v>
      </c>
      <c r="I495">
        <v>225000</v>
      </c>
      <c r="J495" t="s">
        <v>108</v>
      </c>
      <c r="K495" t="s">
        <v>29</v>
      </c>
      <c r="L495">
        <v>20</v>
      </c>
      <c r="M495" t="s">
        <v>22</v>
      </c>
      <c r="N495" t="s">
        <v>1569</v>
      </c>
    </row>
    <row r="496" spans="1:14" x14ac:dyDescent="0.35">
      <c r="A496" t="s">
        <v>1570</v>
      </c>
      <c r="B496" t="s">
        <v>1571</v>
      </c>
      <c r="C496" s="1">
        <v>45055</v>
      </c>
      <c r="D496" t="s">
        <v>16</v>
      </c>
      <c r="E496" t="s">
        <v>34</v>
      </c>
      <c r="F496" t="s">
        <v>252</v>
      </c>
      <c r="G496" t="s">
        <v>286</v>
      </c>
      <c r="H496">
        <v>4</v>
      </c>
      <c r="I496">
        <v>480000</v>
      </c>
      <c r="J496" t="s">
        <v>46</v>
      </c>
      <c r="K496" t="s">
        <v>21</v>
      </c>
      <c r="L496">
        <v>5</v>
      </c>
      <c r="M496" t="s">
        <v>30</v>
      </c>
      <c r="N496" t="s">
        <v>1572</v>
      </c>
    </row>
    <row r="497" spans="1:14" x14ac:dyDescent="0.35">
      <c r="A497" t="s">
        <v>1573</v>
      </c>
      <c r="B497" t="s">
        <v>1574</v>
      </c>
      <c r="C497" s="1">
        <v>45497</v>
      </c>
      <c r="D497" t="s">
        <v>72</v>
      </c>
      <c r="E497" t="s">
        <v>55</v>
      </c>
      <c r="F497" t="s">
        <v>77</v>
      </c>
      <c r="G497" t="s">
        <v>168</v>
      </c>
      <c r="H497">
        <v>5</v>
      </c>
      <c r="I497">
        <v>270000</v>
      </c>
      <c r="J497" t="s">
        <v>83</v>
      </c>
      <c r="K497" t="s">
        <v>21</v>
      </c>
      <c r="L497">
        <v>50</v>
      </c>
      <c r="M497" t="s">
        <v>22</v>
      </c>
      <c r="N497" t="s">
        <v>1575</v>
      </c>
    </row>
    <row r="498" spans="1:14" x14ac:dyDescent="0.35">
      <c r="A498" t="s">
        <v>1576</v>
      </c>
      <c r="B498" t="s">
        <v>1577</v>
      </c>
      <c r="C498" s="1">
        <v>45578</v>
      </c>
      <c r="D498" t="s">
        <v>16</v>
      </c>
      <c r="E498" t="s">
        <v>34</v>
      </c>
      <c r="F498" t="s">
        <v>18</v>
      </c>
      <c r="G498" t="s">
        <v>103</v>
      </c>
      <c r="H498">
        <v>5</v>
      </c>
      <c r="I498">
        <v>500000</v>
      </c>
      <c r="J498" t="s">
        <v>108</v>
      </c>
      <c r="K498" t="s">
        <v>29</v>
      </c>
      <c r="L498">
        <v>28</v>
      </c>
      <c r="M498" t="s">
        <v>30</v>
      </c>
      <c r="N498" t="s">
        <v>1578</v>
      </c>
    </row>
    <row r="499" spans="1:14" x14ac:dyDescent="0.35">
      <c r="A499" t="s">
        <v>1579</v>
      </c>
      <c r="B499" t="s">
        <v>1580</v>
      </c>
      <c r="C499" s="1">
        <v>45287</v>
      </c>
      <c r="D499" t="s">
        <v>72</v>
      </c>
      <c r="E499" t="s">
        <v>34</v>
      </c>
      <c r="F499" t="s">
        <v>67</v>
      </c>
      <c r="G499" t="s">
        <v>68</v>
      </c>
      <c r="H499">
        <v>2</v>
      </c>
      <c r="I499">
        <v>126000</v>
      </c>
      <c r="J499" t="s">
        <v>46</v>
      </c>
      <c r="K499" t="s">
        <v>41</v>
      </c>
      <c r="L499">
        <v>37</v>
      </c>
      <c r="M499" t="s">
        <v>30</v>
      </c>
      <c r="N499" t="s">
        <v>1581</v>
      </c>
    </row>
    <row r="500" spans="1:14" x14ac:dyDescent="0.35">
      <c r="A500" t="s">
        <v>1582</v>
      </c>
      <c r="B500" t="s">
        <v>1583</v>
      </c>
      <c r="C500" s="1">
        <v>45421</v>
      </c>
      <c r="D500" t="s">
        <v>72</v>
      </c>
      <c r="E500" t="s">
        <v>17</v>
      </c>
      <c r="F500" t="s">
        <v>18</v>
      </c>
      <c r="G500" t="s">
        <v>181</v>
      </c>
      <c r="H500">
        <v>1</v>
      </c>
      <c r="I500">
        <v>63000</v>
      </c>
      <c r="J500" t="s">
        <v>20</v>
      </c>
      <c r="K500" t="s">
        <v>41</v>
      </c>
      <c r="L500">
        <v>10</v>
      </c>
      <c r="M500" t="s">
        <v>22</v>
      </c>
      <c r="N500" t="s">
        <v>1584</v>
      </c>
    </row>
    <row r="501" spans="1:14" x14ac:dyDescent="0.35">
      <c r="A501" t="s">
        <v>1585</v>
      </c>
      <c r="B501" t="s">
        <v>1586</v>
      </c>
      <c r="C501" s="1">
        <v>45560</v>
      </c>
      <c r="D501" t="s">
        <v>16</v>
      </c>
      <c r="E501" t="s">
        <v>17</v>
      </c>
      <c r="F501" t="s">
        <v>163</v>
      </c>
      <c r="G501" t="s">
        <v>536</v>
      </c>
      <c r="H501">
        <v>1</v>
      </c>
      <c r="I501">
        <v>100000</v>
      </c>
      <c r="J501" t="s">
        <v>83</v>
      </c>
      <c r="K501" t="s">
        <v>29</v>
      </c>
      <c r="L501">
        <v>19</v>
      </c>
      <c r="M501" t="s">
        <v>30</v>
      </c>
      <c r="N501" t="s">
        <v>1587</v>
      </c>
    </row>
    <row r="502" spans="1:14" x14ac:dyDescent="0.35">
      <c r="A502" t="s">
        <v>1588</v>
      </c>
      <c r="B502" t="s">
        <v>1589</v>
      </c>
      <c r="C502" s="1">
        <v>45227</v>
      </c>
      <c r="D502" t="s">
        <v>45</v>
      </c>
      <c r="E502" t="s">
        <v>17</v>
      </c>
      <c r="F502" t="s">
        <v>67</v>
      </c>
      <c r="G502" t="s">
        <v>120</v>
      </c>
      <c r="H502">
        <v>1</v>
      </c>
      <c r="I502">
        <v>90000</v>
      </c>
      <c r="J502" t="s">
        <v>108</v>
      </c>
      <c r="K502" t="s">
        <v>29</v>
      </c>
      <c r="L502">
        <v>54</v>
      </c>
      <c r="M502" t="s">
        <v>22</v>
      </c>
      <c r="N502" t="s">
        <v>1590</v>
      </c>
    </row>
    <row r="503" spans="1:14" x14ac:dyDescent="0.35">
      <c r="A503" t="s">
        <v>1591</v>
      </c>
      <c r="B503" t="s">
        <v>1592</v>
      </c>
      <c r="C503" s="1">
        <v>45688</v>
      </c>
      <c r="D503" t="s">
        <v>16</v>
      </c>
      <c r="E503" t="s">
        <v>17</v>
      </c>
      <c r="F503" t="s">
        <v>18</v>
      </c>
      <c r="G503" t="s">
        <v>103</v>
      </c>
      <c r="H503">
        <v>1</v>
      </c>
      <c r="I503">
        <v>100000</v>
      </c>
      <c r="J503" t="s">
        <v>83</v>
      </c>
      <c r="K503" t="s">
        <v>29</v>
      </c>
      <c r="L503">
        <v>33</v>
      </c>
      <c r="M503" t="s">
        <v>22</v>
      </c>
      <c r="N503" t="s">
        <v>1593</v>
      </c>
    </row>
    <row r="504" spans="1:14" x14ac:dyDescent="0.35">
      <c r="A504" t="s">
        <v>1594</v>
      </c>
      <c r="B504" t="s">
        <v>1595</v>
      </c>
      <c r="C504" s="1">
        <v>45105</v>
      </c>
      <c r="D504" t="s">
        <v>66</v>
      </c>
      <c r="E504" t="s">
        <v>34</v>
      </c>
      <c r="F504" t="s">
        <v>26</v>
      </c>
      <c r="G504" t="s">
        <v>221</v>
      </c>
      <c r="H504">
        <v>1</v>
      </c>
      <c r="I504">
        <v>72000</v>
      </c>
      <c r="J504" t="s">
        <v>20</v>
      </c>
      <c r="K504" t="s">
        <v>21</v>
      </c>
      <c r="L504">
        <v>31</v>
      </c>
      <c r="M504" t="s">
        <v>22</v>
      </c>
      <c r="N504" t="s">
        <v>1596</v>
      </c>
    </row>
    <row r="505" spans="1:14" x14ac:dyDescent="0.35">
      <c r="A505" t="s">
        <v>1597</v>
      </c>
      <c r="B505" t="s">
        <v>1598</v>
      </c>
      <c r="C505" s="1">
        <v>45210</v>
      </c>
      <c r="D505" t="s">
        <v>72</v>
      </c>
      <c r="E505" t="s">
        <v>34</v>
      </c>
      <c r="F505" t="s">
        <v>77</v>
      </c>
      <c r="G505" t="s">
        <v>91</v>
      </c>
      <c r="H505">
        <v>1</v>
      </c>
      <c r="I505">
        <v>54000</v>
      </c>
      <c r="J505" t="s">
        <v>46</v>
      </c>
      <c r="K505" t="s">
        <v>21</v>
      </c>
      <c r="L505">
        <v>33</v>
      </c>
      <c r="M505" t="s">
        <v>30</v>
      </c>
      <c r="N505" t="s">
        <v>1599</v>
      </c>
    </row>
    <row r="506" spans="1:14" x14ac:dyDescent="0.35">
      <c r="A506" t="s">
        <v>1600</v>
      </c>
      <c r="B506" t="s">
        <v>1601</v>
      </c>
      <c r="C506" s="1">
        <v>45345</v>
      </c>
      <c r="D506" t="s">
        <v>72</v>
      </c>
      <c r="E506" t="s">
        <v>17</v>
      </c>
      <c r="F506" t="s">
        <v>67</v>
      </c>
      <c r="G506" t="s">
        <v>128</v>
      </c>
      <c r="H506">
        <v>1</v>
      </c>
      <c r="I506">
        <v>45000</v>
      </c>
      <c r="J506" t="s">
        <v>28</v>
      </c>
      <c r="K506" t="s">
        <v>29</v>
      </c>
      <c r="L506">
        <v>52</v>
      </c>
      <c r="M506" t="s">
        <v>22</v>
      </c>
      <c r="N506" t="s">
        <v>1602</v>
      </c>
    </row>
    <row r="507" spans="1:14" x14ac:dyDescent="0.35">
      <c r="A507" t="s">
        <v>1603</v>
      </c>
      <c r="B507" t="s">
        <v>1604</v>
      </c>
      <c r="C507" s="1">
        <v>45100</v>
      </c>
      <c r="D507" t="s">
        <v>72</v>
      </c>
      <c r="E507" t="s">
        <v>55</v>
      </c>
      <c r="F507" t="s">
        <v>77</v>
      </c>
      <c r="G507" t="s">
        <v>383</v>
      </c>
      <c r="H507">
        <v>5</v>
      </c>
      <c r="I507">
        <v>315000</v>
      </c>
      <c r="J507" t="s">
        <v>46</v>
      </c>
      <c r="K507" t="s">
        <v>41</v>
      </c>
      <c r="L507">
        <v>47</v>
      </c>
      <c r="M507" t="s">
        <v>30</v>
      </c>
      <c r="N507" t="s">
        <v>1605</v>
      </c>
    </row>
    <row r="508" spans="1:14" x14ac:dyDescent="0.35">
      <c r="A508" t="s">
        <v>1606</v>
      </c>
      <c r="B508" t="s">
        <v>1607</v>
      </c>
      <c r="C508" s="1">
        <v>45620</v>
      </c>
      <c r="D508" t="s">
        <v>72</v>
      </c>
      <c r="E508" t="s">
        <v>55</v>
      </c>
      <c r="F508" t="s">
        <v>50</v>
      </c>
      <c r="G508" t="s">
        <v>51</v>
      </c>
      <c r="H508">
        <v>2</v>
      </c>
      <c r="I508">
        <v>108000</v>
      </c>
      <c r="J508" t="s">
        <v>83</v>
      </c>
      <c r="K508" t="s">
        <v>21</v>
      </c>
      <c r="L508">
        <v>60</v>
      </c>
      <c r="M508" t="s">
        <v>30</v>
      </c>
      <c r="N508" t="s">
        <v>1608</v>
      </c>
    </row>
    <row r="509" spans="1:14" x14ac:dyDescent="0.35">
      <c r="A509" t="s">
        <v>1609</v>
      </c>
      <c r="B509" t="s">
        <v>1610</v>
      </c>
      <c r="C509" s="1">
        <v>45746</v>
      </c>
      <c r="D509" t="s">
        <v>16</v>
      </c>
      <c r="E509" t="s">
        <v>34</v>
      </c>
      <c r="F509" t="s">
        <v>56</v>
      </c>
      <c r="G509" t="s">
        <v>144</v>
      </c>
      <c r="H509">
        <v>2</v>
      </c>
      <c r="I509">
        <v>240000</v>
      </c>
      <c r="J509" t="s">
        <v>46</v>
      </c>
      <c r="K509" t="s">
        <v>21</v>
      </c>
      <c r="L509">
        <v>24</v>
      </c>
      <c r="M509" t="s">
        <v>22</v>
      </c>
      <c r="N509" t="s">
        <v>1611</v>
      </c>
    </row>
    <row r="510" spans="1:14" x14ac:dyDescent="0.35">
      <c r="A510" t="s">
        <v>1612</v>
      </c>
      <c r="B510" t="s">
        <v>1613</v>
      </c>
      <c r="C510" s="1">
        <v>45529</v>
      </c>
      <c r="D510" t="s">
        <v>72</v>
      </c>
      <c r="E510" t="s">
        <v>34</v>
      </c>
      <c r="F510" t="s">
        <v>77</v>
      </c>
      <c r="G510" t="s">
        <v>91</v>
      </c>
      <c r="H510">
        <v>4</v>
      </c>
      <c r="I510">
        <v>180000</v>
      </c>
      <c r="J510" t="s">
        <v>28</v>
      </c>
      <c r="K510" t="s">
        <v>29</v>
      </c>
      <c r="L510">
        <v>13</v>
      </c>
      <c r="M510" t="s">
        <v>30</v>
      </c>
      <c r="N510" t="s">
        <v>1614</v>
      </c>
    </row>
    <row r="511" spans="1:14" x14ac:dyDescent="0.35">
      <c r="A511" t="s">
        <v>1615</v>
      </c>
      <c r="B511" t="s">
        <v>1616</v>
      </c>
      <c r="C511" s="1">
        <v>45436</v>
      </c>
      <c r="D511" t="s">
        <v>72</v>
      </c>
      <c r="E511" t="s">
        <v>34</v>
      </c>
      <c r="F511" t="s">
        <v>61</v>
      </c>
      <c r="G511" t="s">
        <v>62</v>
      </c>
      <c r="H511">
        <v>5</v>
      </c>
      <c r="I511">
        <v>270000</v>
      </c>
      <c r="J511" t="s">
        <v>83</v>
      </c>
      <c r="K511" t="s">
        <v>21</v>
      </c>
      <c r="L511">
        <v>55</v>
      </c>
      <c r="M511" t="s">
        <v>22</v>
      </c>
      <c r="N511" t="s">
        <v>1617</v>
      </c>
    </row>
    <row r="512" spans="1:14" x14ac:dyDescent="0.35">
      <c r="A512" t="s">
        <v>1618</v>
      </c>
      <c r="B512" t="s">
        <v>1619</v>
      </c>
      <c r="C512" s="1">
        <v>45767</v>
      </c>
      <c r="D512" t="s">
        <v>66</v>
      </c>
      <c r="E512" t="s">
        <v>55</v>
      </c>
      <c r="F512" t="s">
        <v>163</v>
      </c>
      <c r="G512" t="s">
        <v>214</v>
      </c>
      <c r="H512">
        <v>3</v>
      </c>
      <c r="I512">
        <v>252000</v>
      </c>
      <c r="J512" t="s">
        <v>20</v>
      </c>
      <c r="K512" t="s">
        <v>41</v>
      </c>
      <c r="L512">
        <v>50</v>
      </c>
      <c r="M512" t="s">
        <v>22</v>
      </c>
      <c r="N512" t="s">
        <v>1620</v>
      </c>
    </row>
    <row r="513" spans="1:14" x14ac:dyDescent="0.35">
      <c r="A513" t="s">
        <v>1621</v>
      </c>
      <c r="B513" t="s">
        <v>1622</v>
      </c>
      <c r="C513" s="1">
        <v>45304</v>
      </c>
      <c r="D513" t="s">
        <v>72</v>
      </c>
      <c r="E513" t="s">
        <v>55</v>
      </c>
      <c r="F513" t="s">
        <v>77</v>
      </c>
      <c r="G513" t="s">
        <v>78</v>
      </c>
      <c r="H513">
        <v>2</v>
      </c>
      <c r="I513">
        <v>126000</v>
      </c>
      <c r="J513" t="s">
        <v>108</v>
      </c>
      <c r="K513" t="s">
        <v>41</v>
      </c>
      <c r="L513">
        <v>45</v>
      </c>
      <c r="M513" t="s">
        <v>22</v>
      </c>
      <c r="N513" t="s">
        <v>1623</v>
      </c>
    </row>
    <row r="514" spans="1:14" x14ac:dyDescent="0.35">
      <c r="A514" t="s">
        <v>1624</v>
      </c>
      <c r="B514" t="s">
        <v>1625</v>
      </c>
      <c r="C514" s="1">
        <v>45226</v>
      </c>
      <c r="D514" t="s">
        <v>16</v>
      </c>
      <c r="E514" t="s">
        <v>34</v>
      </c>
      <c r="F514" t="s">
        <v>61</v>
      </c>
      <c r="G514" t="s">
        <v>290</v>
      </c>
      <c r="H514">
        <v>1</v>
      </c>
      <c r="I514">
        <v>140000</v>
      </c>
      <c r="J514" t="s">
        <v>83</v>
      </c>
      <c r="K514" t="s">
        <v>41</v>
      </c>
      <c r="L514">
        <v>7</v>
      </c>
      <c r="M514" t="s">
        <v>30</v>
      </c>
      <c r="N514" t="s">
        <v>1626</v>
      </c>
    </row>
    <row r="515" spans="1:14" x14ac:dyDescent="0.35">
      <c r="A515" t="s">
        <v>1627</v>
      </c>
      <c r="B515" t="s">
        <v>1628</v>
      </c>
      <c r="C515" s="1">
        <v>45276</v>
      </c>
      <c r="D515" t="s">
        <v>45</v>
      </c>
      <c r="E515" t="s">
        <v>17</v>
      </c>
      <c r="F515" t="s">
        <v>26</v>
      </c>
      <c r="G515" t="s">
        <v>35</v>
      </c>
      <c r="H515">
        <v>3</v>
      </c>
      <c r="I515">
        <v>378000</v>
      </c>
      <c r="J515" t="s">
        <v>46</v>
      </c>
      <c r="K515" t="s">
        <v>41</v>
      </c>
      <c r="L515">
        <v>16</v>
      </c>
      <c r="M515" t="s">
        <v>22</v>
      </c>
      <c r="N515" t="s">
        <v>1629</v>
      </c>
    </row>
    <row r="516" spans="1:14" x14ac:dyDescent="0.35">
      <c r="A516" t="s">
        <v>1630</v>
      </c>
      <c r="B516" t="s">
        <v>1631</v>
      </c>
      <c r="C516" s="1">
        <v>45762</v>
      </c>
      <c r="D516" t="s">
        <v>72</v>
      </c>
      <c r="E516" t="s">
        <v>34</v>
      </c>
      <c r="F516" t="s">
        <v>26</v>
      </c>
      <c r="G516" t="s">
        <v>221</v>
      </c>
      <c r="H516">
        <v>2</v>
      </c>
      <c r="I516">
        <v>108000</v>
      </c>
      <c r="J516" t="s">
        <v>28</v>
      </c>
      <c r="K516" t="s">
        <v>21</v>
      </c>
      <c r="L516">
        <v>45</v>
      </c>
      <c r="M516" t="s">
        <v>22</v>
      </c>
      <c r="N516" t="s">
        <v>1632</v>
      </c>
    </row>
    <row r="517" spans="1:14" x14ac:dyDescent="0.35">
      <c r="A517" t="s">
        <v>1633</v>
      </c>
      <c r="B517" t="s">
        <v>1634</v>
      </c>
      <c r="C517" s="1">
        <v>45373</v>
      </c>
      <c r="D517" t="s">
        <v>72</v>
      </c>
      <c r="E517" t="s">
        <v>17</v>
      </c>
      <c r="F517" t="s">
        <v>26</v>
      </c>
      <c r="G517" t="s">
        <v>87</v>
      </c>
      <c r="H517">
        <v>2</v>
      </c>
      <c r="I517">
        <v>90000</v>
      </c>
      <c r="J517" t="s">
        <v>83</v>
      </c>
      <c r="K517" t="s">
        <v>29</v>
      </c>
      <c r="L517">
        <v>60</v>
      </c>
      <c r="M517" t="s">
        <v>30</v>
      </c>
      <c r="N517" t="s">
        <v>1635</v>
      </c>
    </row>
    <row r="518" spans="1:14" x14ac:dyDescent="0.35">
      <c r="A518" t="s">
        <v>1636</v>
      </c>
      <c r="B518" t="s">
        <v>1637</v>
      </c>
      <c r="C518" s="1">
        <v>45266</v>
      </c>
      <c r="D518" t="s">
        <v>45</v>
      </c>
      <c r="E518" t="s">
        <v>55</v>
      </c>
      <c r="F518" t="s">
        <v>163</v>
      </c>
      <c r="G518" t="s">
        <v>536</v>
      </c>
      <c r="H518">
        <v>3</v>
      </c>
      <c r="I518">
        <v>378000</v>
      </c>
      <c r="J518" t="s">
        <v>83</v>
      </c>
      <c r="K518" t="s">
        <v>41</v>
      </c>
      <c r="L518">
        <v>43</v>
      </c>
      <c r="M518" t="s">
        <v>22</v>
      </c>
      <c r="N518" t="s">
        <v>1638</v>
      </c>
    </row>
    <row r="519" spans="1:14" x14ac:dyDescent="0.35">
      <c r="A519" t="s">
        <v>1639</v>
      </c>
      <c r="B519" t="s">
        <v>1640</v>
      </c>
      <c r="C519" s="1">
        <v>45410</v>
      </c>
      <c r="D519" t="s">
        <v>66</v>
      </c>
      <c r="E519" t="s">
        <v>34</v>
      </c>
      <c r="F519" t="s">
        <v>252</v>
      </c>
      <c r="G519" t="s">
        <v>253</v>
      </c>
      <c r="H519">
        <v>2</v>
      </c>
      <c r="I519">
        <v>144000</v>
      </c>
      <c r="J519" t="s">
        <v>20</v>
      </c>
      <c r="K519" t="s">
        <v>21</v>
      </c>
      <c r="L519">
        <v>39</v>
      </c>
      <c r="M519" t="s">
        <v>22</v>
      </c>
      <c r="N519" t="s">
        <v>1641</v>
      </c>
    </row>
    <row r="520" spans="1:14" x14ac:dyDescent="0.35">
      <c r="A520" t="s">
        <v>1642</v>
      </c>
      <c r="B520" t="s">
        <v>1643</v>
      </c>
      <c r="C520" s="1">
        <v>45239</v>
      </c>
      <c r="D520" t="s">
        <v>45</v>
      </c>
      <c r="E520" t="s">
        <v>55</v>
      </c>
      <c r="F520" t="s">
        <v>39</v>
      </c>
      <c r="G520" t="s">
        <v>82</v>
      </c>
      <c r="H520">
        <v>5</v>
      </c>
      <c r="I520">
        <v>450000</v>
      </c>
      <c r="J520" t="s">
        <v>20</v>
      </c>
      <c r="K520" t="s">
        <v>29</v>
      </c>
      <c r="L520">
        <v>11</v>
      </c>
      <c r="M520" t="s">
        <v>30</v>
      </c>
      <c r="N520" t="s">
        <v>1644</v>
      </c>
    </row>
    <row r="521" spans="1:14" x14ac:dyDescent="0.35">
      <c r="A521" t="s">
        <v>1645</v>
      </c>
      <c r="B521" t="s">
        <v>1646</v>
      </c>
      <c r="C521" s="1">
        <v>45157</v>
      </c>
      <c r="D521" t="s">
        <v>45</v>
      </c>
      <c r="E521" t="s">
        <v>17</v>
      </c>
      <c r="F521" t="s">
        <v>61</v>
      </c>
      <c r="G521" t="s">
        <v>95</v>
      </c>
      <c r="H521">
        <v>1</v>
      </c>
      <c r="I521">
        <v>126000</v>
      </c>
      <c r="J521" t="s">
        <v>20</v>
      </c>
      <c r="K521" t="s">
        <v>41</v>
      </c>
      <c r="L521">
        <v>47</v>
      </c>
      <c r="M521" t="s">
        <v>22</v>
      </c>
      <c r="N521" t="s">
        <v>1647</v>
      </c>
    </row>
    <row r="522" spans="1:14" x14ac:dyDescent="0.35">
      <c r="A522" t="s">
        <v>1648</v>
      </c>
      <c r="B522" t="s">
        <v>1649</v>
      </c>
      <c r="C522" s="1">
        <v>45457</v>
      </c>
      <c r="D522" t="s">
        <v>66</v>
      </c>
      <c r="E522" t="s">
        <v>55</v>
      </c>
      <c r="F522" t="s">
        <v>18</v>
      </c>
      <c r="G522" t="s">
        <v>181</v>
      </c>
      <c r="H522">
        <v>4</v>
      </c>
      <c r="I522">
        <v>240000</v>
      </c>
      <c r="J522" t="s">
        <v>20</v>
      </c>
      <c r="K522" t="s">
        <v>29</v>
      </c>
      <c r="L522">
        <v>45</v>
      </c>
      <c r="M522" t="s">
        <v>22</v>
      </c>
      <c r="N522" t="s">
        <v>1650</v>
      </c>
    </row>
    <row r="523" spans="1:14" x14ac:dyDescent="0.35">
      <c r="A523" t="s">
        <v>1651</v>
      </c>
      <c r="B523" t="s">
        <v>1652</v>
      </c>
      <c r="C523" s="1">
        <v>45129</v>
      </c>
      <c r="D523" t="s">
        <v>45</v>
      </c>
      <c r="E523" t="s">
        <v>17</v>
      </c>
      <c r="F523" t="s">
        <v>163</v>
      </c>
      <c r="G523" t="s">
        <v>282</v>
      </c>
      <c r="H523">
        <v>5</v>
      </c>
      <c r="I523">
        <v>630000</v>
      </c>
      <c r="J523" t="s">
        <v>108</v>
      </c>
      <c r="K523" t="s">
        <v>41</v>
      </c>
      <c r="L523">
        <v>9</v>
      </c>
      <c r="M523" t="s">
        <v>30</v>
      </c>
      <c r="N523" t="s">
        <v>1653</v>
      </c>
    </row>
    <row r="524" spans="1:14" x14ac:dyDescent="0.35">
      <c r="A524" t="s">
        <v>1654</v>
      </c>
      <c r="B524" t="s">
        <v>1655</v>
      </c>
      <c r="C524" s="1">
        <v>45048</v>
      </c>
      <c r="D524" t="s">
        <v>72</v>
      </c>
      <c r="E524" t="s">
        <v>17</v>
      </c>
      <c r="F524" t="s">
        <v>77</v>
      </c>
      <c r="G524" t="s">
        <v>383</v>
      </c>
      <c r="H524">
        <v>1</v>
      </c>
      <c r="I524">
        <v>54000</v>
      </c>
      <c r="J524" t="s">
        <v>46</v>
      </c>
      <c r="K524" t="s">
        <v>21</v>
      </c>
      <c r="L524">
        <v>55</v>
      </c>
      <c r="M524" t="s">
        <v>22</v>
      </c>
      <c r="N524" t="s">
        <v>1656</v>
      </c>
    </row>
    <row r="525" spans="1:14" x14ac:dyDescent="0.35">
      <c r="A525" t="s">
        <v>1657</v>
      </c>
      <c r="B525" t="s">
        <v>1658</v>
      </c>
      <c r="C525" s="1">
        <v>45235</v>
      </c>
      <c r="D525" t="s">
        <v>45</v>
      </c>
      <c r="E525" t="s">
        <v>34</v>
      </c>
      <c r="F525" t="s">
        <v>56</v>
      </c>
      <c r="G525" t="s">
        <v>152</v>
      </c>
      <c r="H525">
        <v>1</v>
      </c>
      <c r="I525">
        <v>90000</v>
      </c>
      <c r="J525" t="s">
        <v>83</v>
      </c>
      <c r="K525" t="s">
        <v>29</v>
      </c>
      <c r="L525">
        <v>38</v>
      </c>
      <c r="M525" t="s">
        <v>30</v>
      </c>
      <c r="N525" t="s">
        <v>1659</v>
      </c>
    </row>
    <row r="526" spans="1:14" x14ac:dyDescent="0.35">
      <c r="A526" t="s">
        <v>1660</v>
      </c>
      <c r="B526" t="s">
        <v>1661</v>
      </c>
      <c r="C526" s="1">
        <v>45295</v>
      </c>
      <c r="D526" t="s">
        <v>45</v>
      </c>
      <c r="E526" t="s">
        <v>55</v>
      </c>
      <c r="F526" t="s">
        <v>39</v>
      </c>
      <c r="G526" t="s">
        <v>82</v>
      </c>
      <c r="H526">
        <v>5</v>
      </c>
      <c r="I526">
        <v>450000</v>
      </c>
      <c r="J526" t="s">
        <v>28</v>
      </c>
      <c r="K526" t="s">
        <v>29</v>
      </c>
      <c r="L526">
        <v>27</v>
      </c>
      <c r="M526" t="s">
        <v>30</v>
      </c>
      <c r="N526" t="s">
        <v>1662</v>
      </c>
    </row>
    <row r="527" spans="1:14" x14ac:dyDescent="0.35">
      <c r="A527" t="s">
        <v>1663</v>
      </c>
      <c r="B527" t="s">
        <v>1664</v>
      </c>
      <c r="C527" s="1">
        <v>45213</v>
      </c>
      <c r="D527" t="s">
        <v>16</v>
      </c>
      <c r="E527" t="s">
        <v>34</v>
      </c>
      <c r="F527" t="s">
        <v>163</v>
      </c>
      <c r="G527" t="s">
        <v>214</v>
      </c>
      <c r="H527">
        <v>3</v>
      </c>
      <c r="I527">
        <v>420000</v>
      </c>
      <c r="J527" t="s">
        <v>108</v>
      </c>
      <c r="K527" t="s">
        <v>41</v>
      </c>
      <c r="L527">
        <v>60</v>
      </c>
      <c r="M527" t="s">
        <v>30</v>
      </c>
      <c r="N527" t="s">
        <v>47</v>
      </c>
    </row>
    <row r="528" spans="1:14" x14ac:dyDescent="0.35">
      <c r="A528" t="s">
        <v>1665</v>
      </c>
      <c r="B528" t="s">
        <v>1666</v>
      </c>
      <c r="C528" s="1">
        <v>45147</v>
      </c>
      <c r="D528" t="s">
        <v>72</v>
      </c>
      <c r="E528" t="s">
        <v>55</v>
      </c>
      <c r="F528" t="s">
        <v>61</v>
      </c>
      <c r="G528" t="s">
        <v>156</v>
      </c>
      <c r="H528">
        <v>3</v>
      </c>
      <c r="I528">
        <v>162000</v>
      </c>
      <c r="J528" t="s">
        <v>108</v>
      </c>
      <c r="K528" t="s">
        <v>21</v>
      </c>
      <c r="L528">
        <v>13</v>
      </c>
      <c r="M528" t="s">
        <v>22</v>
      </c>
      <c r="N528" t="s">
        <v>1667</v>
      </c>
    </row>
    <row r="529" spans="1:14" x14ac:dyDescent="0.35">
      <c r="A529" t="s">
        <v>1668</v>
      </c>
      <c r="B529" t="s">
        <v>1669</v>
      </c>
      <c r="C529" s="1">
        <v>45652</v>
      </c>
      <c r="D529" t="s">
        <v>72</v>
      </c>
      <c r="E529" t="s">
        <v>55</v>
      </c>
      <c r="F529" t="s">
        <v>61</v>
      </c>
      <c r="G529" t="s">
        <v>62</v>
      </c>
      <c r="H529">
        <v>5</v>
      </c>
      <c r="I529">
        <v>270000</v>
      </c>
      <c r="J529" t="s">
        <v>108</v>
      </c>
      <c r="K529" t="s">
        <v>21</v>
      </c>
      <c r="L529">
        <v>21</v>
      </c>
      <c r="M529" t="s">
        <v>30</v>
      </c>
      <c r="N529" t="s">
        <v>1670</v>
      </c>
    </row>
    <row r="530" spans="1:14" x14ac:dyDescent="0.35">
      <c r="A530" t="s">
        <v>1671</v>
      </c>
      <c r="B530" t="s">
        <v>1672</v>
      </c>
      <c r="C530" s="1">
        <v>45166</v>
      </c>
      <c r="D530" t="s">
        <v>45</v>
      </c>
      <c r="E530" t="s">
        <v>17</v>
      </c>
      <c r="F530" t="s">
        <v>77</v>
      </c>
      <c r="G530" t="s">
        <v>78</v>
      </c>
      <c r="H530">
        <v>2</v>
      </c>
      <c r="I530">
        <v>180000</v>
      </c>
      <c r="J530" t="s">
        <v>28</v>
      </c>
      <c r="K530" t="s">
        <v>29</v>
      </c>
      <c r="L530">
        <v>18</v>
      </c>
      <c r="M530" t="s">
        <v>30</v>
      </c>
      <c r="N530" t="s">
        <v>1673</v>
      </c>
    </row>
    <row r="531" spans="1:14" x14ac:dyDescent="0.35">
      <c r="A531" t="s">
        <v>1674</v>
      </c>
      <c r="B531" t="s">
        <v>1675</v>
      </c>
      <c r="C531" s="1">
        <v>45527</v>
      </c>
      <c r="D531" t="s">
        <v>16</v>
      </c>
      <c r="E531" t="s">
        <v>55</v>
      </c>
      <c r="F531" t="s">
        <v>61</v>
      </c>
      <c r="G531" t="s">
        <v>95</v>
      </c>
      <c r="H531">
        <v>4</v>
      </c>
      <c r="I531">
        <v>560000</v>
      </c>
      <c r="J531" t="s">
        <v>28</v>
      </c>
      <c r="K531" t="s">
        <v>41</v>
      </c>
      <c r="L531">
        <v>24</v>
      </c>
      <c r="M531" t="s">
        <v>22</v>
      </c>
      <c r="N531" t="s">
        <v>1676</v>
      </c>
    </row>
    <row r="532" spans="1:14" x14ac:dyDescent="0.35">
      <c r="A532" t="s">
        <v>1677</v>
      </c>
      <c r="B532" t="s">
        <v>1678</v>
      </c>
      <c r="C532" s="1">
        <v>45336</v>
      </c>
      <c r="D532" t="s">
        <v>72</v>
      </c>
      <c r="E532" t="s">
        <v>34</v>
      </c>
      <c r="F532" t="s">
        <v>61</v>
      </c>
      <c r="G532" t="s">
        <v>156</v>
      </c>
      <c r="H532">
        <v>4</v>
      </c>
      <c r="I532">
        <v>252000</v>
      </c>
      <c r="J532" t="s">
        <v>28</v>
      </c>
      <c r="K532" t="s">
        <v>41</v>
      </c>
      <c r="L532">
        <v>42</v>
      </c>
      <c r="M532" t="s">
        <v>22</v>
      </c>
      <c r="N532" t="s">
        <v>1679</v>
      </c>
    </row>
    <row r="533" spans="1:14" x14ac:dyDescent="0.35">
      <c r="A533" t="s">
        <v>1680</v>
      </c>
      <c r="B533" t="s">
        <v>1681</v>
      </c>
      <c r="C533" s="1">
        <v>45590</v>
      </c>
      <c r="D533" t="s">
        <v>45</v>
      </c>
      <c r="E533" t="s">
        <v>17</v>
      </c>
      <c r="F533" t="s">
        <v>56</v>
      </c>
      <c r="G533" t="s">
        <v>508</v>
      </c>
      <c r="H533">
        <v>5</v>
      </c>
      <c r="I533">
        <v>450000</v>
      </c>
      <c r="J533" t="s">
        <v>83</v>
      </c>
      <c r="K533" t="s">
        <v>29</v>
      </c>
      <c r="L533">
        <v>60</v>
      </c>
      <c r="M533" t="s">
        <v>30</v>
      </c>
      <c r="N533" t="s">
        <v>1682</v>
      </c>
    </row>
    <row r="534" spans="1:14" x14ac:dyDescent="0.35">
      <c r="A534" t="s">
        <v>1683</v>
      </c>
      <c r="B534" t="s">
        <v>1684</v>
      </c>
      <c r="C534" s="1">
        <v>45693</v>
      </c>
      <c r="D534" t="s">
        <v>66</v>
      </c>
      <c r="E534" t="s">
        <v>17</v>
      </c>
      <c r="F534" t="s">
        <v>26</v>
      </c>
      <c r="G534" t="s">
        <v>221</v>
      </c>
      <c r="H534">
        <v>5</v>
      </c>
      <c r="I534">
        <v>300000</v>
      </c>
      <c r="J534" t="s">
        <v>20</v>
      </c>
      <c r="K534" t="s">
        <v>29</v>
      </c>
      <c r="L534">
        <v>34</v>
      </c>
      <c r="M534" t="s">
        <v>30</v>
      </c>
      <c r="N534" t="s">
        <v>1685</v>
      </c>
    </row>
    <row r="535" spans="1:14" x14ac:dyDescent="0.35">
      <c r="A535" t="s">
        <v>1686</v>
      </c>
      <c r="B535" t="s">
        <v>1687</v>
      </c>
      <c r="C535" s="1">
        <v>45767</v>
      </c>
      <c r="D535" t="s">
        <v>72</v>
      </c>
      <c r="E535" t="s">
        <v>17</v>
      </c>
      <c r="F535" t="s">
        <v>61</v>
      </c>
      <c r="G535" t="s">
        <v>156</v>
      </c>
      <c r="H535">
        <v>2</v>
      </c>
      <c r="I535">
        <v>108000</v>
      </c>
      <c r="J535" t="s">
        <v>28</v>
      </c>
      <c r="K535" t="s">
        <v>21</v>
      </c>
      <c r="L535">
        <v>57</v>
      </c>
      <c r="M535" t="s">
        <v>22</v>
      </c>
      <c r="N535" t="s">
        <v>1688</v>
      </c>
    </row>
    <row r="536" spans="1:14" x14ac:dyDescent="0.35">
      <c r="A536" t="s">
        <v>1689</v>
      </c>
      <c r="B536" t="s">
        <v>1690</v>
      </c>
      <c r="C536" s="1">
        <v>45412</v>
      </c>
      <c r="D536" t="s">
        <v>45</v>
      </c>
      <c r="E536" t="s">
        <v>55</v>
      </c>
      <c r="F536" t="s">
        <v>50</v>
      </c>
      <c r="G536" t="s">
        <v>107</v>
      </c>
      <c r="H536">
        <v>1</v>
      </c>
      <c r="I536">
        <v>108000</v>
      </c>
      <c r="J536" t="s">
        <v>20</v>
      </c>
      <c r="K536" t="s">
        <v>21</v>
      </c>
      <c r="L536">
        <v>35</v>
      </c>
      <c r="M536" t="s">
        <v>22</v>
      </c>
      <c r="N536" t="s">
        <v>1691</v>
      </c>
    </row>
    <row r="537" spans="1:14" x14ac:dyDescent="0.35">
      <c r="A537" t="s">
        <v>1692</v>
      </c>
      <c r="B537" t="s">
        <v>1693</v>
      </c>
      <c r="C537" s="1">
        <v>45441</v>
      </c>
      <c r="D537" t="s">
        <v>66</v>
      </c>
      <c r="E537" t="s">
        <v>17</v>
      </c>
      <c r="F537" t="s">
        <v>67</v>
      </c>
      <c r="G537" t="s">
        <v>120</v>
      </c>
      <c r="H537">
        <v>2</v>
      </c>
      <c r="I537">
        <v>144000</v>
      </c>
      <c r="J537" t="s">
        <v>46</v>
      </c>
      <c r="K537" t="s">
        <v>21</v>
      </c>
      <c r="L537">
        <v>47</v>
      </c>
      <c r="M537" t="s">
        <v>30</v>
      </c>
      <c r="N537" t="s">
        <v>1694</v>
      </c>
    </row>
    <row r="538" spans="1:14" x14ac:dyDescent="0.35">
      <c r="A538" t="s">
        <v>1695</v>
      </c>
      <c r="B538" t="s">
        <v>1696</v>
      </c>
      <c r="C538" s="1">
        <v>45620</v>
      </c>
      <c r="D538" t="s">
        <v>66</v>
      </c>
      <c r="E538" t="s">
        <v>17</v>
      </c>
      <c r="F538" t="s">
        <v>39</v>
      </c>
      <c r="G538" t="s">
        <v>393</v>
      </c>
      <c r="H538">
        <v>2</v>
      </c>
      <c r="I538">
        <v>120000</v>
      </c>
      <c r="J538" t="s">
        <v>28</v>
      </c>
      <c r="K538" t="s">
        <v>29</v>
      </c>
      <c r="L538">
        <v>16</v>
      </c>
      <c r="M538" t="s">
        <v>22</v>
      </c>
      <c r="N538" t="s">
        <v>1697</v>
      </c>
    </row>
    <row r="539" spans="1:14" x14ac:dyDescent="0.35">
      <c r="A539" t="s">
        <v>1698</v>
      </c>
      <c r="B539" t="s">
        <v>1699</v>
      </c>
      <c r="C539" s="1">
        <v>45593</v>
      </c>
      <c r="D539" t="s">
        <v>72</v>
      </c>
      <c r="E539" t="s">
        <v>17</v>
      </c>
      <c r="F539" t="s">
        <v>77</v>
      </c>
      <c r="G539" t="s">
        <v>383</v>
      </c>
      <c r="H539">
        <v>2</v>
      </c>
      <c r="I539">
        <v>90000</v>
      </c>
      <c r="J539" t="s">
        <v>20</v>
      </c>
      <c r="K539" t="s">
        <v>29</v>
      </c>
      <c r="L539">
        <v>13</v>
      </c>
      <c r="M539" t="s">
        <v>30</v>
      </c>
      <c r="N539" t="s">
        <v>1700</v>
      </c>
    </row>
    <row r="540" spans="1:14" x14ac:dyDescent="0.35">
      <c r="A540" t="s">
        <v>1701</v>
      </c>
      <c r="B540" t="s">
        <v>1702</v>
      </c>
      <c r="C540" s="1">
        <v>45563</v>
      </c>
      <c r="D540" t="s">
        <v>45</v>
      </c>
      <c r="E540" t="s">
        <v>17</v>
      </c>
      <c r="F540" t="s">
        <v>67</v>
      </c>
      <c r="G540" t="s">
        <v>68</v>
      </c>
      <c r="H540">
        <v>5</v>
      </c>
      <c r="I540">
        <v>540000</v>
      </c>
      <c r="J540" t="s">
        <v>108</v>
      </c>
      <c r="K540" t="s">
        <v>21</v>
      </c>
      <c r="L540">
        <v>28</v>
      </c>
      <c r="M540" t="s">
        <v>30</v>
      </c>
      <c r="N540" t="s">
        <v>1703</v>
      </c>
    </row>
    <row r="541" spans="1:14" x14ac:dyDescent="0.35">
      <c r="A541" t="s">
        <v>1704</v>
      </c>
      <c r="B541" t="s">
        <v>1705</v>
      </c>
      <c r="C541" s="1">
        <v>45451</v>
      </c>
      <c r="D541" t="s">
        <v>16</v>
      </c>
      <c r="E541" t="s">
        <v>55</v>
      </c>
      <c r="F541" t="s">
        <v>50</v>
      </c>
      <c r="G541" t="s">
        <v>51</v>
      </c>
      <c r="H541">
        <v>2</v>
      </c>
      <c r="I541">
        <v>280000</v>
      </c>
      <c r="J541" t="s">
        <v>83</v>
      </c>
      <c r="K541" t="s">
        <v>41</v>
      </c>
      <c r="L541">
        <v>15</v>
      </c>
      <c r="M541" t="s">
        <v>30</v>
      </c>
      <c r="N541" t="s">
        <v>1706</v>
      </c>
    </row>
    <row r="542" spans="1:14" x14ac:dyDescent="0.35">
      <c r="A542" t="s">
        <v>1707</v>
      </c>
      <c r="B542" t="s">
        <v>1708</v>
      </c>
      <c r="C542" s="1">
        <v>45123</v>
      </c>
      <c r="D542" t="s">
        <v>45</v>
      </c>
      <c r="E542" t="s">
        <v>55</v>
      </c>
      <c r="F542" t="s">
        <v>61</v>
      </c>
      <c r="G542" t="s">
        <v>62</v>
      </c>
      <c r="H542">
        <v>1</v>
      </c>
      <c r="I542">
        <v>126000</v>
      </c>
      <c r="J542" t="s">
        <v>83</v>
      </c>
      <c r="K542" t="s">
        <v>41</v>
      </c>
      <c r="L542">
        <v>50</v>
      </c>
      <c r="M542" t="s">
        <v>30</v>
      </c>
      <c r="N542" t="s">
        <v>1709</v>
      </c>
    </row>
    <row r="543" spans="1:14" x14ac:dyDescent="0.35">
      <c r="A543" t="s">
        <v>1710</v>
      </c>
      <c r="B543" t="s">
        <v>1711</v>
      </c>
      <c r="C543" s="1">
        <v>45330</v>
      </c>
      <c r="D543" t="s">
        <v>16</v>
      </c>
      <c r="E543" t="s">
        <v>55</v>
      </c>
      <c r="F543" t="s">
        <v>61</v>
      </c>
      <c r="G543" t="s">
        <v>156</v>
      </c>
      <c r="H543">
        <v>2</v>
      </c>
      <c r="I543">
        <v>280000</v>
      </c>
      <c r="J543" t="s">
        <v>46</v>
      </c>
      <c r="K543" t="s">
        <v>41</v>
      </c>
      <c r="L543">
        <v>38</v>
      </c>
      <c r="M543" t="s">
        <v>30</v>
      </c>
      <c r="N543" t="s">
        <v>1712</v>
      </c>
    </row>
    <row r="544" spans="1:14" x14ac:dyDescent="0.35">
      <c r="A544" t="s">
        <v>1713</v>
      </c>
      <c r="B544" t="s">
        <v>1714</v>
      </c>
      <c r="C544" s="1">
        <v>45312</v>
      </c>
      <c r="D544" t="s">
        <v>66</v>
      </c>
      <c r="E544" t="s">
        <v>34</v>
      </c>
      <c r="F544" t="s">
        <v>50</v>
      </c>
      <c r="G544" t="s">
        <v>51</v>
      </c>
      <c r="H544">
        <v>5</v>
      </c>
      <c r="I544">
        <v>420000</v>
      </c>
      <c r="J544" t="s">
        <v>28</v>
      </c>
      <c r="K544" t="s">
        <v>41</v>
      </c>
      <c r="L544">
        <v>57</v>
      </c>
      <c r="M544" t="s">
        <v>22</v>
      </c>
      <c r="N544" t="s">
        <v>1715</v>
      </c>
    </row>
    <row r="545" spans="1:14" x14ac:dyDescent="0.35">
      <c r="A545" t="s">
        <v>1716</v>
      </c>
      <c r="B545" t="s">
        <v>1717</v>
      </c>
      <c r="C545" s="1">
        <v>45055</v>
      </c>
      <c r="D545" t="s">
        <v>45</v>
      </c>
      <c r="E545" t="s">
        <v>34</v>
      </c>
      <c r="F545" t="s">
        <v>61</v>
      </c>
      <c r="G545" t="s">
        <v>95</v>
      </c>
      <c r="H545">
        <v>2</v>
      </c>
      <c r="I545">
        <v>216000</v>
      </c>
      <c r="J545" t="s">
        <v>20</v>
      </c>
      <c r="K545" t="s">
        <v>21</v>
      </c>
      <c r="L545">
        <v>50</v>
      </c>
      <c r="M545" t="s">
        <v>22</v>
      </c>
      <c r="N545" t="s">
        <v>1718</v>
      </c>
    </row>
    <row r="546" spans="1:14" x14ac:dyDescent="0.35">
      <c r="A546" t="s">
        <v>1719</v>
      </c>
      <c r="B546" t="s">
        <v>1720</v>
      </c>
      <c r="C546" s="1">
        <v>45606</v>
      </c>
      <c r="D546" t="s">
        <v>66</v>
      </c>
      <c r="E546" t="s">
        <v>55</v>
      </c>
      <c r="F546" t="s">
        <v>252</v>
      </c>
      <c r="G546" t="s">
        <v>253</v>
      </c>
      <c r="H546">
        <v>1</v>
      </c>
      <c r="I546">
        <v>84000</v>
      </c>
      <c r="J546" t="s">
        <v>20</v>
      </c>
      <c r="K546" t="s">
        <v>41</v>
      </c>
      <c r="L546">
        <v>40</v>
      </c>
      <c r="M546" t="s">
        <v>22</v>
      </c>
      <c r="N546" t="s">
        <v>1721</v>
      </c>
    </row>
    <row r="547" spans="1:14" x14ac:dyDescent="0.35">
      <c r="A547" t="s">
        <v>1722</v>
      </c>
      <c r="B547" t="s">
        <v>1723</v>
      </c>
      <c r="C547" s="1">
        <v>45727</v>
      </c>
      <c r="D547" t="s">
        <v>66</v>
      </c>
      <c r="E547" t="s">
        <v>17</v>
      </c>
      <c r="F547" t="s">
        <v>252</v>
      </c>
      <c r="G547" t="s">
        <v>504</v>
      </c>
      <c r="H547">
        <v>3</v>
      </c>
      <c r="I547">
        <v>180000</v>
      </c>
      <c r="J547" t="s">
        <v>46</v>
      </c>
      <c r="K547" t="s">
        <v>29</v>
      </c>
      <c r="L547">
        <v>16</v>
      </c>
      <c r="M547" t="s">
        <v>22</v>
      </c>
      <c r="N547" t="s">
        <v>1724</v>
      </c>
    </row>
    <row r="548" spans="1:14" x14ac:dyDescent="0.35">
      <c r="A548" t="s">
        <v>1725</v>
      </c>
      <c r="B548" t="s">
        <v>1726</v>
      </c>
      <c r="C548" s="1">
        <v>45550</v>
      </c>
      <c r="D548" t="s">
        <v>66</v>
      </c>
      <c r="E548" t="s">
        <v>34</v>
      </c>
      <c r="F548" t="s">
        <v>77</v>
      </c>
      <c r="G548" t="s">
        <v>136</v>
      </c>
      <c r="H548">
        <v>1</v>
      </c>
      <c r="I548">
        <v>60000</v>
      </c>
      <c r="J548" t="s">
        <v>83</v>
      </c>
      <c r="K548" t="s">
        <v>29</v>
      </c>
      <c r="L548">
        <v>17</v>
      </c>
      <c r="M548" t="s">
        <v>30</v>
      </c>
      <c r="N548" t="s">
        <v>1727</v>
      </c>
    </row>
    <row r="549" spans="1:14" x14ac:dyDescent="0.35">
      <c r="A549" t="s">
        <v>1728</v>
      </c>
      <c r="B549" t="s">
        <v>1729</v>
      </c>
      <c r="C549" s="1">
        <v>45741</v>
      </c>
      <c r="D549" t="s">
        <v>45</v>
      </c>
      <c r="E549" t="s">
        <v>17</v>
      </c>
      <c r="F549" t="s">
        <v>50</v>
      </c>
      <c r="G549" t="s">
        <v>132</v>
      </c>
      <c r="H549">
        <v>5</v>
      </c>
      <c r="I549">
        <v>450000</v>
      </c>
      <c r="J549" t="s">
        <v>46</v>
      </c>
      <c r="K549" t="s">
        <v>29</v>
      </c>
      <c r="L549">
        <v>29</v>
      </c>
      <c r="M549" t="s">
        <v>22</v>
      </c>
      <c r="N549" t="s">
        <v>1730</v>
      </c>
    </row>
    <row r="550" spans="1:14" x14ac:dyDescent="0.35">
      <c r="A550" t="s">
        <v>1731</v>
      </c>
      <c r="B550" t="s">
        <v>1732</v>
      </c>
      <c r="C550" s="1">
        <v>45407</v>
      </c>
      <c r="D550" t="s">
        <v>45</v>
      </c>
      <c r="E550" t="s">
        <v>17</v>
      </c>
      <c r="F550" t="s">
        <v>18</v>
      </c>
      <c r="G550" t="s">
        <v>19</v>
      </c>
      <c r="H550">
        <v>4</v>
      </c>
      <c r="I550">
        <v>432000</v>
      </c>
      <c r="J550" t="s">
        <v>46</v>
      </c>
      <c r="K550" t="s">
        <v>21</v>
      </c>
      <c r="L550">
        <v>19</v>
      </c>
      <c r="M550" t="s">
        <v>30</v>
      </c>
      <c r="N550" t="s">
        <v>1733</v>
      </c>
    </row>
    <row r="551" spans="1:14" x14ac:dyDescent="0.35">
      <c r="A551" t="s">
        <v>1734</v>
      </c>
      <c r="B551" t="s">
        <v>1735</v>
      </c>
      <c r="C551" s="1">
        <v>45692</v>
      </c>
      <c r="D551" t="s">
        <v>66</v>
      </c>
      <c r="E551" t="s">
        <v>55</v>
      </c>
      <c r="F551" t="s">
        <v>18</v>
      </c>
      <c r="G551" t="s">
        <v>19</v>
      </c>
      <c r="H551">
        <v>2</v>
      </c>
      <c r="I551">
        <v>144000</v>
      </c>
      <c r="J551" t="s">
        <v>46</v>
      </c>
      <c r="K551" t="s">
        <v>21</v>
      </c>
      <c r="L551">
        <v>18</v>
      </c>
      <c r="M551" t="s">
        <v>22</v>
      </c>
      <c r="N551" t="s">
        <v>1736</v>
      </c>
    </row>
    <row r="552" spans="1:14" x14ac:dyDescent="0.35">
      <c r="A552" t="s">
        <v>1737</v>
      </c>
      <c r="B552" t="s">
        <v>1738</v>
      </c>
      <c r="C552" s="1">
        <v>45170</v>
      </c>
      <c r="D552" t="s">
        <v>72</v>
      </c>
      <c r="E552" t="s">
        <v>17</v>
      </c>
      <c r="F552" t="s">
        <v>67</v>
      </c>
      <c r="G552" t="s">
        <v>68</v>
      </c>
      <c r="H552">
        <v>4</v>
      </c>
      <c r="I552">
        <v>252000</v>
      </c>
      <c r="J552" t="s">
        <v>46</v>
      </c>
      <c r="K552" t="s">
        <v>41</v>
      </c>
      <c r="L552">
        <v>25</v>
      </c>
      <c r="M552" t="s">
        <v>22</v>
      </c>
      <c r="N552" t="s">
        <v>1739</v>
      </c>
    </row>
    <row r="553" spans="1:14" x14ac:dyDescent="0.35">
      <c r="A553" t="s">
        <v>1740</v>
      </c>
      <c r="B553" t="s">
        <v>1741</v>
      </c>
      <c r="C553" s="1">
        <v>45610</v>
      </c>
      <c r="D553" t="s">
        <v>16</v>
      </c>
      <c r="E553" t="s">
        <v>55</v>
      </c>
      <c r="F553" t="s">
        <v>56</v>
      </c>
      <c r="G553" t="s">
        <v>144</v>
      </c>
      <c r="H553">
        <v>4</v>
      </c>
      <c r="I553">
        <v>560000</v>
      </c>
      <c r="J553" t="s">
        <v>28</v>
      </c>
      <c r="K553" t="s">
        <v>41</v>
      </c>
      <c r="L553">
        <v>6</v>
      </c>
      <c r="M553" t="s">
        <v>30</v>
      </c>
      <c r="N553" t="s">
        <v>1742</v>
      </c>
    </row>
    <row r="554" spans="1:14" x14ac:dyDescent="0.35">
      <c r="A554" t="s">
        <v>1743</v>
      </c>
      <c r="B554" t="s">
        <v>1744</v>
      </c>
      <c r="C554" s="1">
        <v>45611</v>
      </c>
      <c r="D554" t="s">
        <v>45</v>
      </c>
      <c r="E554" t="s">
        <v>17</v>
      </c>
      <c r="F554" t="s">
        <v>77</v>
      </c>
      <c r="G554" t="s">
        <v>78</v>
      </c>
      <c r="H554">
        <v>2</v>
      </c>
      <c r="I554">
        <v>216000</v>
      </c>
      <c r="J554" t="s">
        <v>20</v>
      </c>
      <c r="K554" t="s">
        <v>21</v>
      </c>
      <c r="L554">
        <v>37</v>
      </c>
      <c r="M554" t="s">
        <v>22</v>
      </c>
      <c r="N554" t="s">
        <v>1745</v>
      </c>
    </row>
    <row r="555" spans="1:14" x14ac:dyDescent="0.35">
      <c r="A555" t="s">
        <v>1746</v>
      </c>
      <c r="B555" t="s">
        <v>1747</v>
      </c>
      <c r="C555" s="1">
        <v>45452</v>
      </c>
      <c r="D555" t="s">
        <v>66</v>
      </c>
      <c r="E555" t="s">
        <v>55</v>
      </c>
      <c r="F555" t="s">
        <v>252</v>
      </c>
      <c r="G555" t="s">
        <v>286</v>
      </c>
      <c r="H555">
        <v>5</v>
      </c>
      <c r="I555">
        <v>420000</v>
      </c>
      <c r="J555" t="s">
        <v>108</v>
      </c>
      <c r="K555" t="s">
        <v>41</v>
      </c>
      <c r="L555">
        <v>44</v>
      </c>
      <c r="M555" t="s">
        <v>30</v>
      </c>
      <c r="N555" t="s">
        <v>1748</v>
      </c>
    </row>
    <row r="556" spans="1:14" x14ac:dyDescent="0.35">
      <c r="A556" t="s">
        <v>1749</v>
      </c>
      <c r="B556" t="s">
        <v>1750</v>
      </c>
      <c r="C556" s="1">
        <v>45559</v>
      </c>
      <c r="D556" t="s">
        <v>72</v>
      </c>
      <c r="E556" t="s">
        <v>17</v>
      </c>
      <c r="F556" t="s">
        <v>77</v>
      </c>
      <c r="G556" t="s">
        <v>136</v>
      </c>
      <c r="H556">
        <v>5</v>
      </c>
      <c r="I556">
        <v>225000</v>
      </c>
      <c r="J556" t="s">
        <v>20</v>
      </c>
      <c r="K556" t="s">
        <v>29</v>
      </c>
      <c r="L556">
        <v>21</v>
      </c>
      <c r="M556" t="s">
        <v>30</v>
      </c>
      <c r="N556" t="s">
        <v>1751</v>
      </c>
    </row>
    <row r="557" spans="1:14" x14ac:dyDescent="0.35">
      <c r="A557" t="s">
        <v>1752</v>
      </c>
      <c r="B557" t="s">
        <v>1753</v>
      </c>
      <c r="C557" s="1">
        <v>45630</v>
      </c>
      <c r="D557" t="s">
        <v>16</v>
      </c>
      <c r="E557" t="s">
        <v>17</v>
      </c>
      <c r="F557" t="s">
        <v>50</v>
      </c>
      <c r="G557" t="s">
        <v>107</v>
      </c>
      <c r="H557">
        <v>4</v>
      </c>
      <c r="I557">
        <v>400000</v>
      </c>
      <c r="J557" t="s">
        <v>46</v>
      </c>
      <c r="K557" t="s">
        <v>29</v>
      </c>
      <c r="L557">
        <v>42</v>
      </c>
      <c r="M557" t="s">
        <v>22</v>
      </c>
      <c r="N557" t="s">
        <v>1754</v>
      </c>
    </row>
    <row r="558" spans="1:14" x14ac:dyDescent="0.35">
      <c r="A558" t="s">
        <v>1755</v>
      </c>
      <c r="B558" t="s">
        <v>1756</v>
      </c>
      <c r="C558" s="1">
        <v>45102</v>
      </c>
      <c r="D558" t="s">
        <v>66</v>
      </c>
      <c r="E558" t="s">
        <v>17</v>
      </c>
      <c r="F558" t="s">
        <v>39</v>
      </c>
      <c r="G558" t="s">
        <v>393</v>
      </c>
      <c r="H558">
        <v>3</v>
      </c>
      <c r="I558">
        <v>180000</v>
      </c>
      <c r="J558" t="s">
        <v>108</v>
      </c>
      <c r="K558" t="s">
        <v>29</v>
      </c>
      <c r="L558">
        <v>39</v>
      </c>
      <c r="M558" t="s">
        <v>30</v>
      </c>
      <c r="N558" t="s">
        <v>1757</v>
      </c>
    </row>
    <row r="559" spans="1:14" x14ac:dyDescent="0.35">
      <c r="A559" t="s">
        <v>1758</v>
      </c>
      <c r="B559" t="s">
        <v>1759</v>
      </c>
      <c r="C559" s="1">
        <v>45625</v>
      </c>
      <c r="D559" t="s">
        <v>16</v>
      </c>
      <c r="E559" t="s">
        <v>17</v>
      </c>
      <c r="F559" t="s">
        <v>77</v>
      </c>
      <c r="G559" t="s">
        <v>136</v>
      </c>
      <c r="H559">
        <v>3</v>
      </c>
      <c r="I559">
        <v>420000</v>
      </c>
      <c r="J559" t="s">
        <v>28</v>
      </c>
      <c r="K559" t="s">
        <v>41</v>
      </c>
      <c r="L559">
        <v>23</v>
      </c>
      <c r="M559" t="s">
        <v>30</v>
      </c>
      <c r="N559" t="s">
        <v>1760</v>
      </c>
    </row>
    <row r="560" spans="1:14" x14ac:dyDescent="0.35">
      <c r="A560" t="s">
        <v>1761</v>
      </c>
      <c r="B560" t="s">
        <v>1762</v>
      </c>
      <c r="C560" s="1">
        <v>45191</v>
      </c>
      <c r="D560" t="s">
        <v>66</v>
      </c>
      <c r="E560" t="s">
        <v>17</v>
      </c>
      <c r="F560" t="s">
        <v>163</v>
      </c>
      <c r="G560" t="s">
        <v>201</v>
      </c>
      <c r="H560">
        <v>2</v>
      </c>
      <c r="I560">
        <v>120000</v>
      </c>
      <c r="J560" t="s">
        <v>46</v>
      </c>
      <c r="K560" t="s">
        <v>29</v>
      </c>
      <c r="L560">
        <v>33</v>
      </c>
      <c r="M560" t="s">
        <v>30</v>
      </c>
      <c r="N560" t="s">
        <v>1763</v>
      </c>
    </row>
    <row r="561" spans="1:14" x14ac:dyDescent="0.35">
      <c r="A561" t="s">
        <v>1764</v>
      </c>
      <c r="B561" t="s">
        <v>1765</v>
      </c>
      <c r="C561" s="1">
        <v>45712</v>
      </c>
      <c r="D561" t="s">
        <v>45</v>
      </c>
      <c r="E561" t="s">
        <v>17</v>
      </c>
      <c r="F561" t="s">
        <v>67</v>
      </c>
      <c r="G561" t="s">
        <v>120</v>
      </c>
      <c r="H561">
        <v>2</v>
      </c>
      <c r="I561">
        <v>216000</v>
      </c>
      <c r="J561" t="s">
        <v>83</v>
      </c>
      <c r="K561" t="s">
        <v>21</v>
      </c>
      <c r="L561">
        <v>22</v>
      </c>
      <c r="M561" t="s">
        <v>30</v>
      </c>
      <c r="N561" t="s">
        <v>1766</v>
      </c>
    </row>
    <row r="562" spans="1:14" x14ac:dyDescent="0.35">
      <c r="A562" t="s">
        <v>1767</v>
      </c>
      <c r="B562" t="s">
        <v>1768</v>
      </c>
      <c r="C562" s="1">
        <v>45121</v>
      </c>
      <c r="D562" t="s">
        <v>66</v>
      </c>
      <c r="E562" t="s">
        <v>55</v>
      </c>
      <c r="F562" t="s">
        <v>67</v>
      </c>
      <c r="G562" t="s">
        <v>128</v>
      </c>
      <c r="H562">
        <v>2</v>
      </c>
      <c r="I562">
        <v>168000</v>
      </c>
      <c r="J562" t="s">
        <v>46</v>
      </c>
      <c r="K562" t="s">
        <v>41</v>
      </c>
      <c r="L562">
        <v>37</v>
      </c>
      <c r="M562" t="s">
        <v>22</v>
      </c>
      <c r="N562" t="s">
        <v>1769</v>
      </c>
    </row>
    <row r="563" spans="1:14" x14ac:dyDescent="0.35">
      <c r="A563" t="s">
        <v>1770</v>
      </c>
      <c r="B563" t="s">
        <v>1771</v>
      </c>
      <c r="C563" s="1">
        <v>45520</v>
      </c>
      <c r="D563" t="s">
        <v>72</v>
      </c>
      <c r="E563" t="s">
        <v>34</v>
      </c>
      <c r="F563" t="s">
        <v>252</v>
      </c>
      <c r="G563" t="s">
        <v>286</v>
      </c>
      <c r="H563">
        <v>2</v>
      </c>
      <c r="I563">
        <v>108000</v>
      </c>
      <c r="J563" t="s">
        <v>108</v>
      </c>
      <c r="K563" t="s">
        <v>21</v>
      </c>
      <c r="L563">
        <v>52</v>
      </c>
      <c r="M563" t="s">
        <v>22</v>
      </c>
      <c r="N563" t="s">
        <v>1772</v>
      </c>
    </row>
    <row r="564" spans="1:14" x14ac:dyDescent="0.35">
      <c r="A564" t="s">
        <v>1773</v>
      </c>
      <c r="B564" t="s">
        <v>1774</v>
      </c>
      <c r="C564" s="1">
        <v>45277</v>
      </c>
      <c r="D564" t="s">
        <v>16</v>
      </c>
      <c r="E564" t="s">
        <v>34</v>
      </c>
      <c r="F564" t="s">
        <v>61</v>
      </c>
      <c r="G564" t="s">
        <v>290</v>
      </c>
      <c r="H564">
        <v>3</v>
      </c>
      <c r="I564">
        <v>420000</v>
      </c>
      <c r="J564" t="s">
        <v>108</v>
      </c>
      <c r="K564" t="s">
        <v>41</v>
      </c>
      <c r="L564">
        <v>57</v>
      </c>
      <c r="M564" t="s">
        <v>30</v>
      </c>
      <c r="N564" t="s">
        <v>1775</v>
      </c>
    </row>
    <row r="565" spans="1:14" x14ac:dyDescent="0.35">
      <c r="A565" t="s">
        <v>1776</v>
      </c>
      <c r="B565" t="s">
        <v>1777</v>
      </c>
      <c r="C565" s="1">
        <v>45090</v>
      </c>
      <c r="D565" t="s">
        <v>66</v>
      </c>
      <c r="E565" t="s">
        <v>34</v>
      </c>
      <c r="F565" t="s">
        <v>67</v>
      </c>
      <c r="G565" t="s">
        <v>112</v>
      </c>
      <c r="H565">
        <v>1</v>
      </c>
      <c r="I565">
        <v>72000</v>
      </c>
      <c r="J565" t="s">
        <v>83</v>
      </c>
      <c r="K565" t="s">
        <v>21</v>
      </c>
      <c r="L565">
        <v>13</v>
      </c>
      <c r="M565" t="s">
        <v>22</v>
      </c>
      <c r="N565" t="s">
        <v>1778</v>
      </c>
    </row>
    <row r="566" spans="1:14" x14ac:dyDescent="0.35">
      <c r="A566" t="s">
        <v>1779</v>
      </c>
      <c r="B566" t="s">
        <v>1780</v>
      </c>
      <c r="C566" s="1">
        <v>45222</v>
      </c>
      <c r="D566" t="s">
        <v>72</v>
      </c>
      <c r="E566" t="s">
        <v>55</v>
      </c>
      <c r="F566" t="s">
        <v>39</v>
      </c>
      <c r="G566" t="s">
        <v>393</v>
      </c>
      <c r="H566">
        <v>1</v>
      </c>
      <c r="I566">
        <v>63000</v>
      </c>
      <c r="J566" t="s">
        <v>28</v>
      </c>
      <c r="K566" t="s">
        <v>41</v>
      </c>
      <c r="L566">
        <v>34</v>
      </c>
      <c r="M566" t="s">
        <v>30</v>
      </c>
      <c r="N566" t="s">
        <v>1781</v>
      </c>
    </row>
    <row r="567" spans="1:14" x14ac:dyDescent="0.35">
      <c r="A567" t="s">
        <v>1782</v>
      </c>
      <c r="B567" t="s">
        <v>1783</v>
      </c>
      <c r="C567" s="1">
        <v>45480</v>
      </c>
      <c r="D567" t="s">
        <v>45</v>
      </c>
      <c r="E567" t="s">
        <v>17</v>
      </c>
      <c r="F567" t="s">
        <v>39</v>
      </c>
      <c r="G567" t="s">
        <v>40</v>
      </c>
      <c r="H567">
        <v>3</v>
      </c>
      <c r="I567">
        <v>270000</v>
      </c>
      <c r="J567" t="s">
        <v>20</v>
      </c>
      <c r="K567" t="s">
        <v>29</v>
      </c>
      <c r="L567">
        <v>41</v>
      </c>
      <c r="M567" t="s">
        <v>22</v>
      </c>
      <c r="N567" t="s">
        <v>1784</v>
      </c>
    </row>
    <row r="568" spans="1:14" x14ac:dyDescent="0.35">
      <c r="A568" t="s">
        <v>1785</v>
      </c>
      <c r="B568" t="s">
        <v>1786</v>
      </c>
      <c r="C568" s="1">
        <v>45554</v>
      </c>
      <c r="D568" t="s">
        <v>72</v>
      </c>
      <c r="E568" t="s">
        <v>34</v>
      </c>
      <c r="F568" t="s">
        <v>252</v>
      </c>
      <c r="G568" t="s">
        <v>504</v>
      </c>
      <c r="H568">
        <v>2</v>
      </c>
      <c r="I568">
        <v>126000</v>
      </c>
      <c r="J568" t="s">
        <v>83</v>
      </c>
      <c r="K568" t="s">
        <v>41</v>
      </c>
      <c r="L568">
        <v>47</v>
      </c>
      <c r="M568" t="s">
        <v>30</v>
      </c>
      <c r="N568" t="s">
        <v>1787</v>
      </c>
    </row>
    <row r="569" spans="1:14" x14ac:dyDescent="0.35">
      <c r="A569" t="s">
        <v>1788</v>
      </c>
      <c r="B569" t="s">
        <v>1789</v>
      </c>
      <c r="C569" s="1">
        <v>45535</v>
      </c>
      <c r="D569" t="s">
        <v>66</v>
      </c>
      <c r="E569" t="s">
        <v>34</v>
      </c>
      <c r="F569" t="s">
        <v>61</v>
      </c>
      <c r="G569" t="s">
        <v>290</v>
      </c>
      <c r="H569">
        <v>2</v>
      </c>
      <c r="I569">
        <v>168000</v>
      </c>
      <c r="J569" t="s">
        <v>46</v>
      </c>
      <c r="K569" t="s">
        <v>41</v>
      </c>
      <c r="L569">
        <v>51</v>
      </c>
      <c r="M569" t="s">
        <v>22</v>
      </c>
      <c r="N569" t="s">
        <v>1790</v>
      </c>
    </row>
    <row r="570" spans="1:14" x14ac:dyDescent="0.35">
      <c r="A570" t="s">
        <v>1791</v>
      </c>
      <c r="B570" t="s">
        <v>1792</v>
      </c>
      <c r="C570" s="1">
        <v>45678</v>
      </c>
      <c r="D570" t="s">
        <v>45</v>
      </c>
      <c r="E570" t="s">
        <v>17</v>
      </c>
      <c r="F570" t="s">
        <v>56</v>
      </c>
      <c r="G570" t="s">
        <v>152</v>
      </c>
      <c r="H570">
        <v>5</v>
      </c>
      <c r="I570">
        <v>540000</v>
      </c>
      <c r="J570" t="s">
        <v>28</v>
      </c>
      <c r="K570" t="s">
        <v>21</v>
      </c>
      <c r="L570">
        <v>46</v>
      </c>
      <c r="M570" t="s">
        <v>22</v>
      </c>
      <c r="N570" t="s">
        <v>1793</v>
      </c>
    </row>
    <row r="571" spans="1:14" x14ac:dyDescent="0.35">
      <c r="A571" t="s">
        <v>1794</v>
      </c>
      <c r="B571" t="s">
        <v>1795</v>
      </c>
      <c r="C571" s="1">
        <v>45450</v>
      </c>
      <c r="D571" t="s">
        <v>45</v>
      </c>
      <c r="E571" t="s">
        <v>17</v>
      </c>
      <c r="F571" t="s">
        <v>26</v>
      </c>
      <c r="G571" t="s">
        <v>35</v>
      </c>
      <c r="H571">
        <v>2</v>
      </c>
      <c r="I571">
        <v>216000</v>
      </c>
      <c r="J571" t="s">
        <v>46</v>
      </c>
      <c r="K571" t="s">
        <v>21</v>
      </c>
      <c r="L571">
        <v>15</v>
      </c>
      <c r="M571" t="s">
        <v>30</v>
      </c>
      <c r="N571" t="s">
        <v>1796</v>
      </c>
    </row>
    <row r="572" spans="1:14" x14ac:dyDescent="0.35">
      <c r="A572" t="s">
        <v>1797</v>
      </c>
      <c r="B572" t="s">
        <v>1798</v>
      </c>
      <c r="C572" s="1">
        <v>45500</v>
      </c>
      <c r="D572" t="s">
        <v>66</v>
      </c>
      <c r="E572" t="s">
        <v>34</v>
      </c>
      <c r="F572" t="s">
        <v>56</v>
      </c>
      <c r="G572" t="s">
        <v>144</v>
      </c>
      <c r="H572">
        <v>1</v>
      </c>
      <c r="I572">
        <v>60000</v>
      </c>
      <c r="J572" t="s">
        <v>20</v>
      </c>
      <c r="K572" t="s">
        <v>29</v>
      </c>
      <c r="L572">
        <v>25</v>
      </c>
      <c r="M572" t="s">
        <v>22</v>
      </c>
      <c r="N572" t="s">
        <v>1799</v>
      </c>
    </row>
    <row r="573" spans="1:14" x14ac:dyDescent="0.35">
      <c r="A573" t="s">
        <v>1800</v>
      </c>
      <c r="B573" t="s">
        <v>1801</v>
      </c>
      <c r="C573" s="1">
        <v>45745</v>
      </c>
      <c r="D573" t="s">
        <v>66</v>
      </c>
      <c r="E573" t="s">
        <v>55</v>
      </c>
      <c r="F573" t="s">
        <v>56</v>
      </c>
      <c r="G573" t="s">
        <v>116</v>
      </c>
      <c r="H573">
        <v>1</v>
      </c>
      <c r="I573">
        <v>72000</v>
      </c>
      <c r="J573" t="s">
        <v>83</v>
      </c>
      <c r="K573" t="s">
        <v>21</v>
      </c>
      <c r="L573">
        <v>47</v>
      </c>
      <c r="M573" t="s">
        <v>22</v>
      </c>
      <c r="N573" t="s">
        <v>1802</v>
      </c>
    </row>
    <row r="574" spans="1:14" x14ac:dyDescent="0.35">
      <c r="A574" t="s">
        <v>1803</v>
      </c>
      <c r="B574" t="s">
        <v>1804</v>
      </c>
      <c r="C574" s="1">
        <v>45242</v>
      </c>
      <c r="D574" t="s">
        <v>72</v>
      </c>
      <c r="E574" t="s">
        <v>17</v>
      </c>
      <c r="F574" t="s">
        <v>67</v>
      </c>
      <c r="G574" t="s">
        <v>112</v>
      </c>
      <c r="H574">
        <v>5</v>
      </c>
      <c r="I574">
        <v>315000</v>
      </c>
      <c r="J574" t="s">
        <v>28</v>
      </c>
      <c r="K574" t="s">
        <v>41</v>
      </c>
      <c r="L574">
        <v>55</v>
      </c>
      <c r="M574" t="s">
        <v>22</v>
      </c>
      <c r="N574" t="s">
        <v>1805</v>
      </c>
    </row>
    <row r="575" spans="1:14" x14ac:dyDescent="0.35">
      <c r="A575" t="s">
        <v>1806</v>
      </c>
      <c r="B575" t="s">
        <v>1807</v>
      </c>
      <c r="C575" s="1">
        <v>45506</v>
      </c>
      <c r="D575" t="s">
        <v>16</v>
      </c>
      <c r="E575" t="s">
        <v>34</v>
      </c>
      <c r="F575" t="s">
        <v>61</v>
      </c>
      <c r="G575" t="s">
        <v>290</v>
      </c>
      <c r="H575">
        <v>2</v>
      </c>
      <c r="I575">
        <v>280000</v>
      </c>
      <c r="J575" t="s">
        <v>83</v>
      </c>
      <c r="K575" t="s">
        <v>41</v>
      </c>
      <c r="L575">
        <v>30</v>
      </c>
      <c r="M575" t="s">
        <v>22</v>
      </c>
      <c r="N575" t="s">
        <v>1808</v>
      </c>
    </row>
    <row r="576" spans="1:14" x14ac:dyDescent="0.35">
      <c r="A576" t="s">
        <v>1809</v>
      </c>
      <c r="B576" t="s">
        <v>1810</v>
      </c>
      <c r="C576" s="1">
        <v>45160</v>
      </c>
      <c r="D576" t="s">
        <v>66</v>
      </c>
      <c r="E576" t="s">
        <v>34</v>
      </c>
      <c r="F576" t="s">
        <v>67</v>
      </c>
      <c r="G576" t="s">
        <v>120</v>
      </c>
      <c r="H576">
        <v>3</v>
      </c>
      <c r="I576">
        <v>252000</v>
      </c>
      <c r="J576" t="s">
        <v>46</v>
      </c>
      <c r="K576" t="s">
        <v>41</v>
      </c>
      <c r="L576">
        <v>26</v>
      </c>
      <c r="M576" t="s">
        <v>22</v>
      </c>
      <c r="N576" t="s">
        <v>1811</v>
      </c>
    </row>
    <row r="577" spans="1:14" x14ac:dyDescent="0.35">
      <c r="A577" t="s">
        <v>1812</v>
      </c>
      <c r="B577" t="s">
        <v>1813</v>
      </c>
      <c r="C577" s="1">
        <v>45274</v>
      </c>
      <c r="D577" t="s">
        <v>16</v>
      </c>
      <c r="E577" t="s">
        <v>55</v>
      </c>
      <c r="F577" t="s">
        <v>252</v>
      </c>
      <c r="G577" t="s">
        <v>257</v>
      </c>
      <c r="H577">
        <v>4</v>
      </c>
      <c r="I577">
        <v>480000</v>
      </c>
      <c r="J577" t="s">
        <v>108</v>
      </c>
      <c r="K577" t="s">
        <v>21</v>
      </c>
      <c r="L577">
        <v>54</v>
      </c>
      <c r="M577" t="s">
        <v>30</v>
      </c>
      <c r="N577" t="s">
        <v>1814</v>
      </c>
    </row>
    <row r="578" spans="1:14" x14ac:dyDescent="0.35">
      <c r="A578" t="s">
        <v>1815</v>
      </c>
      <c r="B578" t="s">
        <v>1816</v>
      </c>
      <c r="C578" s="1">
        <v>45190</v>
      </c>
      <c r="D578" t="s">
        <v>72</v>
      </c>
      <c r="E578" t="s">
        <v>34</v>
      </c>
      <c r="F578" t="s">
        <v>56</v>
      </c>
      <c r="G578" t="s">
        <v>152</v>
      </c>
      <c r="H578">
        <v>4</v>
      </c>
      <c r="I578">
        <v>180000</v>
      </c>
      <c r="J578" t="s">
        <v>46</v>
      </c>
      <c r="K578" t="s">
        <v>29</v>
      </c>
      <c r="L578">
        <v>5</v>
      </c>
      <c r="M578" t="s">
        <v>22</v>
      </c>
      <c r="N578" t="s">
        <v>1817</v>
      </c>
    </row>
    <row r="579" spans="1:14" x14ac:dyDescent="0.35">
      <c r="A579" t="s">
        <v>1818</v>
      </c>
      <c r="B579" t="s">
        <v>1819</v>
      </c>
      <c r="C579" s="1">
        <v>45136</v>
      </c>
      <c r="D579" t="s">
        <v>72</v>
      </c>
      <c r="E579" t="s">
        <v>34</v>
      </c>
      <c r="F579" t="s">
        <v>18</v>
      </c>
      <c r="G579" t="s">
        <v>181</v>
      </c>
      <c r="H579">
        <v>2</v>
      </c>
      <c r="I579">
        <v>108000</v>
      </c>
      <c r="J579" t="s">
        <v>108</v>
      </c>
      <c r="K579" t="s">
        <v>21</v>
      </c>
      <c r="L579">
        <v>28</v>
      </c>
      <c r="M579" t="s">
        <v>30</v>
      </c>
      <c r="N579" t="s">
        <v>1623</v>
      </c>
    </row>
    <row r="580" spans="1:14" x14ac:dyDescent="0.35">
      <c r="A580" t="s">
        <v>1820</v>
      </c>
      <c r="B580" t="s">
        <v>1821</v>
      </c>
      <c r="C580" s="1">
        <v>45245</v>
      </c>
      <c r="D580" t="s">
        <v>66</v>
      </c>
      <c r="E580" t="s">
        <v>55</v>
      </c>
      <c r="F580" t="s">
        <v>50</v>
      </c>
      <c r="G580" t="s">
        <v>107</v>
      </c>
      <c r="H580">
        <v>4</v>
      </c>
      <c r="I580">
        <v>288000</v>
      </c>
      <c r="J580" t="s">
        <v>46</v>
      </c>
      <c r="K580" t="s">
        <v>21</v>
      </c>
      <c r="L580">
        <v>16</v>
      </c>
      <c r="M580" t="s">
        <v>30</v>
      </c>
      <c r="N580" t="s">
        <v>1822</v>
      </c>
    </row>
    <row r="581" spans="1:14" x14ac:dyDescent="0.35">
      <c r="A581" t="s">
        <v>1823</v>
      </c>
      <c r="B581" t="s">
        <v>1824</v>
      </c>
      <c r="C581" s="1">
        <v>45590</v>
      </c>
      <c r="D581" t="s">
        <v>72</v>
      </c>
      <c r="E581" t="s">
        <v>55</v>
      </c>
      <c r="F581" t="s">
        <v>252</v>
      </c>
      <c r="G581" t="s">
        <v>253</v>
      </c>
      <c r="H581">
        <v>4</v>
      </c>
      <c r="I581">
        <v>216000</v>
      </c>
      <c r="J581" t="s">
        <v>20</v>
      </c>
      <c r="K581" t="s">
        <v>21</v>
      </c>
      <c r="L581">
        <v>40</v>
      </c>
      <c r="M581" t="s">
        <v>22</v>
      </c>
      <c r="N581" t="s">
        <v>1825</v>
      </c>
    </row>
    <row r="582" spans="1:14" x14ac:dyDescent="0.35">
      <c r="A582" t="s">
        <v>1826</v>
      </c>
      <c r="B582" t="s">
        <v>1827</v>
      </c>
      <c r="C582" s="1">
        <v>45084</v>
      </c>
      <c r="D582" t="s">
        <v>16</v>
      </c>
      <c r="E582" t="s">
        <v>17</v>
      </c>
      <c r="F582" t="s">
        <v>50</v>
      </c>
      <c r="G582" t="s">
        <v>107</v>
      </c>
      <c r="H582">
        <v>3</v>
      </c>
      <c r="I582">
        <v>360000</v>
      </c>
      <c r="J582" t="s">
        <v>83</v>
      </c>
      <c r="K582" t="s">
        <v>21</v>
      </c>
      <c r="L582">
        <v>52</v>
      </c>
      <c r="M582" t="s">
        <v>22</v>
      </c>
      <c r="N582" t="s">
        <v>1828</v>
      </c>
    </row>
    <row r="583" spans="1:14" x14ac:dyDescent="0.35">
      <c r="A583" t="s">
        <v>1829</v>
      </c>
      <c r="B583" t="s">
        <v>1830</v>
      </c>
      <c r="C583" s="1">
        <v>45450</v>
      </c>
      <c r="D583" t="s">
        <v>45</v>
      </c>
      <c r="E583" t="s">
        <v>34</v>
      </c>
      <c r="F583" t="s">
        <v>61</v>
      </c>
      <c r="G583" t="s">
        <v>62</v>
      </c>
      <c r="H583">
        <v>4</v>
      </c>
      <c r="I583">
        <v>504000</v>
      </c>
      <c r="J583" t="s">
        <v>20</v>
      </c>
      <c r="K583" t="s">
        <v>41</v>
      </c>
      <c r="L583">
        <v>14</v>
      </c>
      <c r="M583" t="s">
        <v>22</v>
      </c>
      <c r="N583" t="s">
        <v>1831</v>
      </c>
    </row>
    <row r="584" spans="1:14" x14ac:dyDescent="0.35">
      <c r="A584" t="s">
        <v>1832</v>
      </c>
      <c r="B584" t="s">
        <v>1833</v>
      </c>
      <c r="C584" s="1">
        <v>45069</v>
      </c>
      <c r="D584" t="s">
        <v>66</v>
      </c>
      <c r="E584" t="s">
        <v>34</v>
      </c>
      <c r="F584" t="s">
        <v>18</v>
      </c>
      <c r="G584" t="s">
        <v>297</v>
      </c>
      <c r="H584">
        <v>5</v>
      </c>
      <c r="I584">
        <v>360000</v>
      </c>
      <c r="J584" t="s">
        <v>20</v>
      </c>
      <c r="K584" t="s">
        <v>21</v>
      </c>
      <c r="L584">
        <v>52</v>
      </c>
      <c r="M584" t="s">
        <v>30</v>
      </c>
      <c r="N584" t="s">
        <v>1834</v>
      </c>
    </row>
    <row r="585" spans="1:14" x14ac:dyDescent="0.35">
      <c r="A585" t="s">
        <v>1835</v>
      </c>
      <c r="B585" t="s">
        <v>1836</v>
      </c>
      <c r="C585" s="1">
        <v>45613</v>
      </c>
      <c r="D585" t="s">
        <v>72</v>
      </c>
      <c r="E585" t="s">
        <v>55</v>
      </c>
      <c r="F585" t="s">
        <v>50</v>
      </c>
      <c r="G585" t="s">
        <v>148</v>
      </c>
      <c r="H585">
        <v>5</v>
      </c>
      <c r="I585">
        <v>270000</v>
      </c>
      <c r="J585" t="s">
        <v>20</v>
      </c>
      <c r="K585" t="s">
        <v>21</v>
      </c>
      <c r="L585">
        <v>21</v>
      </c>
      <c r="M585" t="s">
        <v>30</v>
      </c>
      <c r="N585" t="s">
        <v>1837</v>
      </c>
    </row>
    <row r="586" spans="1:14" x14ac:dyDescent="0.35">
      <c r="A586" t="s">
        <v>1838</v>
      </c>
      <c r="B586" t="s">
        <v>1839</v>
      </c>
      <c r="C586" s="1">
        <v>45533</v>
      </c>
      <c r="D586" t="s">
        <v>16</v>
      </c>
      <c r="E586" t="s">
        <v>17</v>
      </c>
      <c r="F586" t="s">
        <v>163</v>
      </c>
      <c r="G586" t="s">
        <v>282</v>
      </c>
      <c r="H586">
        <v>2</v>
      </c>
      <c r="I586">
        <v>280000</v>
      </c>
      <c r="J586" t="s">
        <v>20</v>
      </c>
      <c r="K586" t="s">
        <v>41</v>
      </c>
      <c r="L586">
        <v>30</v>
      </c>
      <c r="M586" t="s">
        <v>30</v>
      </c>
      <c r="N586" t="s">
        <v>1840</v>
      </c>
    </row>
    <row r="587" spans="1:14" x14ac:dyDescent="0.35">
      <c r="A587" t="s">
        <v>1841</v>
      </c>
      <c r="B587" t="s">
        <v>1842</v>
      </c>
      <c r="C587" s="1">
        <v>45722</v>
      </c>
      <c r="D587" t="s">
        <v>45</v>
      </c>
      <c r="E587" t="s">
        <v>34</v>
      </c>
      <c r="F587" t="s">
        <v>50</v>
      </c>
      <c r="G587" t="s">
        <v>51</v>
      </c>
      <c r="H587">
        <v>1</v>
      </c>
      <c r="I587">
        <v>108000</v>
      </c>
      <c r="J587" t="s">
        <v>46</v>
      </c>
      <c r="K587" t="s">
        <v>21</v>
      </c>
      <c r="L587">
        <v>22</v>
      </c>
      <c r="M587" t="s">
        <v>30</v>
      </c>
      <c r="N587" t="s">
        <v>1843</v>
      </c>
    </row>
    <row r="588" spans="1:14" x14ac:dyDescent="0.35">
      <c r="A588" t="s">
        <v>1844</v>
      </c>
      <c r="B588" t="s">
        <v>1845</v>
      </c>
      <c r="C588" s="1">
        <v>45206</v>
      </c>
      <c r="D588" t="s">
        <v>72</v>
      </c>
      <c r="E588" t="s">
        <v>34</v>
      </c>
      <c r="F588" t="s">
        <v>67</v>
      </c>
      <c r="G588" t="s">
        <v>112</v>
      </c>
      <c r="H588">
        <v>4</v>
      </c>
      <c r="I588">
        <v>216000</v>
      </c>
      <c r="J588" t="s">
        <v>28</v>
      </c>
      <c r="K588" t="s">
        <v>21</v>
      </c>
      <c r="L588">
        <v>44</v>
      </c>
      <c r="M588" t="s">
        <v>30</v>
      </c>
      <c r="N588" t="s">
        <v>1846</v>
      </c>
    </row>
    <row r="589" spans="1:14" x14ac:dyDescent="0.35">
      <c r="A589" t="s">
        <v>1847</v>
      </c>
      <c r="B589" t="s">
        <v>1848</v>
      </c>
      <c r="C589" s="1">
        <v>45686</v>
      </c>
      <c r="D589" t="s">
        <v>45</v>
      </c>
      <c r="E589" t="s">
        <v>55</v>
      </c>
      <c r="F589" t="s">
        <v>67</v>
      </c>
      <c r="G589" t="s">
        <v>128</v>
      </c>
      <c r="H589">
        <v>5</v>
      </c>
      <c r="I589">
        <v>450000</v>
      </c>
      <c r="J589" t="s">
        <v>83</v>
      </c>
      <c r="K589" t="s">
        <v>29</v>
      </c>
      <c r="L589">
        <v>11</v>
      </c>
      <c r="M589" t="s">
        <v>30</v>
      </c>
      <c r="N589" t="s">
        <v>1849</v>
      </c>
    </row>
    <row r="590" spans="1:14" x14ac:dyDescent="0.35">
      <c r="A590" t="s">
        <v>1850</v>
      </c>
      <c r="B590" t="s">
        <v>1851</v>
      </c>
      <c r="C590" s="1">
        <v>45690</v>
      </c>
      <c r="D590" t="s">
        <v>66</v>
      </c>
      <c r="E590" t="s">
        <v>34</v>
      </c>
      <c r="F590" t="s">
        <v>77</v>
      </c>
      <c r="G590" t="s">
        <v>91</v>
      </c>
      <c r="H590">
        <v>2</v>
      </c>
      <c r="I590">
        <v>120000</v>
      </c>
      <c r="J590" t="s">
        <v>83</v>
      </c>
      <c r="K590" t="s">
        <v>29</v>
      </c>
      <c r="L590">
        <v>56</v>
      </c>
      <c r="M590" t="s">
        <v>30</v>
      </c>
      <c r="N590" t="s">
        <v>1852</v>
      </c>
    </row>
    <row r="591" spans="1:14" x14ac:dyDescent="0.35">
      <c r="A591" t="s">
        <v>1853</v>
      </c>
      <c r="B591" t="s">
        <v>1854</v>
      </c>
      <c r="C591" s="1">
        <v>45348</v>
      </c>
      <c r="D591" t="s">
        <v>66</v>
      </c>
      <c r="E591" t="s">
        <v>34</v>
      </c>
      <c r="F591" t="s">
        <v>61</v>
      </c>
      <c r="G591" t="s">
        <v>95</v>
      </c>
      <c r="H591">
        <v>1</v>
      </c>
      <c r="I591">
        <v>60000</v>
      </c>
      <c r="J591" t="s">
        <v>46</v>
      </c>
      <c r="K591" t="s">
        <v>29</v>
      </c>
      <c r="L591">
        <v>6</v>
      </c>
      <c r="M591" t="s">
        <v>22</v>
      </c>
      <c r="N591" t="s">
        <v>1855</v>
      </c>
    </row>
    <row r="592" spans="1:14" x14ac:dyDescent="0.35">
      <c r="A592" t="s">
        <v>1856</v>
      </c>
      <c r="B592" t="s">
        <v>1857</v>
      </c>
      <c r="C592" s="1">
        <v>45761</v>
      </c>
      <c r="D592" t="s">
        <v>45</v>
      </c>
      <c r="E592" t="s">
        <v>34</v>
      </c>
      <c r="F592" t="s">
        <v>56</v>
      </c>
      <c r="G592" t="s">
        <v>144</v>
      </c>
      <c r="H592">
        <v>3</v>
      </c>
      <c r="I592">
        <v>324000</v>
      </c>
      <c r="J592" t="s">
        <v>108</v>
      </c>
      <c r="K592" t="s">
        <v>21</v>
      </c>
      <c r="L592">
        <v>6</v>
      </c>
      <c r="M592" t="s">
        <v>22</v>
      </c>
      <c r="N592" t="s">
        <v>1858</v>
      </c>
    </row>
    <row r="593" spans="1:14" x14ac:dyDescent="0.35">
      <c r="A593" t="s">
        <v>1859</v>
      </c>
      <c r="B593" t="s">
        <v>1860</v>
      </c>
      <c r="C593" s="1">
        <v>45149</v>
      </c>
      <c r="D593" t="s">
        <v>72</v>
      </c>
      <c r="E593" t="s">
        <v>17</v>
      </c>
      <c r="F593" t="s">
        <v>26</v>
      </c>
      <c r="G593" t="s">
        <v>124</v>
      </c>
      <c r="H593">
        <v>3</v>
      </c>
      <c r="I593">
        <v>189000</v>
      </c>
      <c r="J593" t="s">
        <v>108</v>
      </c>
      <c r="K593" t="s">
        <v>41</v>
      </c>
      <c r="L593">
        <v>37</v>
      </c>
      <c r="M593" t="s">
        <v>30</v>
      </c>
      <c r="N593" t="s">
        <v>1861</v>
      </c>
    </row>
    <row r="594" spans="1:14" x14ac:dyDescent="0.35">
      <c r="A594" t="s">
        <v>1862</v>
      </c>
      <c r="B594" t="s">
        <v>1863</v>
      </c>
      <c r="C594" s="1">
        <v>45732</v>
      </c>
      <c r="D594" t="s">
        <v>45</v>
      </c>
      <c r="E594" t="s">
        <v>55</v>
      </c>
      <c r="F594" t="s">
        <v>61</v>
      </c>
      <c r="G594" t="s">
        <v>156</v>
      </c>
      <c r="H594">
        <v>3</v>
      </c>
      <c r="I594">
        <v>378000</v>
      </c>
      <c r="J594" t="s">
        <v>46</v>
      </c>
      <c r="K594" t="s">
        <v>41</v>
      </c>
      <c r="L594">
        <v>27</v>
      </c>
      <c r="M594" t="s">
        <v>22</v>
      </c>
      <c r="N594" t="s">
        <v>1864</v>
      </c>
    </row>
    <row r="595" spans="1:14" x14ac:dyDescent="0.35">
      <c r="A595" t="s">
        <v>1865</v>
      </c>
      <c r="B595" t="s">
        <v>1866</v>
      </c>
      <c r="C595" s="1">
        <v>45463</v>
      </c>
      <c r="D595" t="s">
        <v>16</v>
      </c>
      <c r="E595" t="s">
        <v>34</v>
      </c>
      <c r="F595" t="s">
        <v>67</v>
      </c>
      <c r="G595" t="s">
        <v>128</v>
      </c>
      <c r="H595">
        <v>3</v>
      </c>
      <c r="I595">
        <v>300000</v>
      </c>
      <c r="J595" t="s">
        <v>46</v>
      </c>
      <c r="K595" t="s">
        <v>29</v>
      </c>
      <c r="L595">
        <v>9</v>
      </c>
      <c r="M595" t="s">
        <v>22</v>
      </c>
      <c r="N595" t="s">
        <v>1867</v>
      </c>
    </row>
    <row r="596" spans="1:14" x14ac:dyDescent="0.35">
      <c r="A596" t="s">
        <v>1868</v>
      </c>
      <c r="B596" t="s">
        <v>1869</v>
      </c>
      <c r="C596" s="1">
        <v>45336</v>
      </c>
      <c r="D596" t="s">
        <v>45</v>
      </c>
      <c r="E596" t="s">
        <v>17</v>
      </c>
      <c r="F596" t="s">
        <v>26</v>
      </c>
      <c r="G596" t="s">
        <v>221</v>
      </c>
      <c r="H596">
        <v>4</v>
      </c>
      <c r="I596">
        <v>432000</v>
      </c>
      <c r="J596" t="s">
        <v>83</v>
      </c>
      <c r="K596" t="s">
        <v>21</v>
      </c>
      <c r="L596">
        <v>5</v>
      </c>
      <c r="M596" t="s">
        <v>30</v>
      </c>
      <c r="N596" t="s">
        <v>1870</v>
      </c>
    </row>
    <row r="597" spans="1:14" x14ac:dyDescent="0.35">
      <c r="A597" t="s">
        <v>1871</v>
      </c>
      <c r="B597" t="s">
        <v>1872</v>
      </c>
      <c r="C597" s="1">
        <v>45559</v>
      </c>
      <c r="D597" t="s">
        <v>45</v>
      </c>
      <c r="E597" t="s">
        <v>34</v>
      </c>
      <c r="F597" t="s">
        <v>18</v>
      </c>
      <c r="G597" t="s">
        <v>103</v>
      </c>
      <c r="H597">
        <v>1</v>
      </c>
      <c r="I597">
        <v>108000</v>
      </c>
      <c r="J597" t="s">
        <v>108</v>
      </c>
      <c r="K597" t="s">
        <v>21</v>
      </c>
      <c r="L597">
        <v>43</v>
      </c>
      <c r="M597" t="s">
        <v>30</v>
      </c>
      <c r="N597" t="s">
        <v>1873</v>
      </c>
    </row>
    <row r="598" spans="1:14" x14ac:dyDescent="0.35">
      <c r="A598" t="s">
        <v>1874</v>
      </c>
      <c r="B598" t="s">
        <v>1875</v>
      </c>
      <c r="C598" s="1">
        <v>45439</v>
      </c>
      <c r="D598" t="s">
        <v>45</v>
      </c>
      <c r="E598" t="s">
        <v>55</v>
      </c>
      <c r="F598" t="s">
        <v>56</v>
      </c>
      <c r="G598" t="s">
        <v>57</v>
      </c>
      <c r="H598">
        <v>4</v>
      </c>
      <c r="I598">
        <v>504000</v>
      </c>
      <c r="J598" t="s">
        <v>20</v>
      </c>
      <c r="K598" t="s">
        <v>41</v>
      </c>
      <c r="L598">
        <v>15</v>
      </c>
      <c r="M598" t="s">
        <v>30</v>
      </c>
      <c r="N598" t="s">
        <v>1876</v>
      </c>
    </row>
    <row r="599" spans="1:14" x14ac:dyDescent="0.35">
      <c r="A599" t="s">
        <v>1877</v>
      </c>
      <c r="B599" t="s">
        <v>1878</v>
      </c>
      <c r="C599" s="1">
        <v>45530</v>
      </c>
      <c r="D599" t="s">
        <v>45</v>
      </c>
      <c r="E599" t="s">
        <v>55</v>
      </c>
      <c r="F599" t="s">
        <v>56</v>
      </c>
      <c r="G599" t="s">
        <v>152</v>
      </c>
      <c r="H599">
        <v>3</v>
      </c>
      <c r="I599">
        <v>270000</v>
      </c>
      <c r="J599" t="s">
        <v>20</v>
      </c>
      <c r="K599" t="s">
        <v>29</v>
      </c>
      <c r="L599">
        <v>52</v>
      </c>
      <c r="M599" t="s">
        <v>22</v>
      </c>
      <c r="N599" t="s">
        <v>1879</v>
      </c>
    </row>
    <row r="600" spans="1:14" x14ac:dyDescent="0.35">
      <c r="A600" t="s">
        <v>1880</v>
      </c>
      <c r="B600" t="s">
        <v>1881</v>
      </c>
      <c r="C600" s="1">
        <v>45369</v>
      </c>
      <c r="D600" t="s">
        <v>66</v>
      </c>
      <c r="E600" t="s">
        <v>17</v>
      </c>
      <c r="F600" t="s">
        <v>163</v>
      </c>
      <c r="G600" t="s">
        <v>536</v>
      </c>
      <c r="H600">
        <v>1</v>
      </c>
      <c r="I600">
        <v>84000</v>
      </c>
      <c r="J600" t="s">
        <v>28</v>
      </c>
      <c r="K600" t="s">
        <v>41</v>
      </c>
      <c r="L600">
        <v>38</v>
      </c>
      <c r="M600" t="s">
        <v>30</v>
      </c>
      <c r="N600" t="s">
        <v>1882</v>
      </c>
    </row>
    <row r="601" spans="1:14" x14ac:dyDescent="0.35">
      <c r="A601" t="s">
        <v>1883</v>
      </c>
      <c r="B601" t="s">
        <v>1884</v>
      </c>
      <c r="C601" s="1">
        <v>45409</v>
      </c>
      <c r="D601" t="s">
        <v>45</v>
      </c>
      <c r="E601" t="s">
        <v>34</v>
      </c>
      <c r="F601" t="s">
        <v>18</v>
      </c>
      <c r="G601" t="s">
        <v>19</v>
      </c>
      <c r="H601">
        <v>1</v>
      </c>
      <c r="I601">
        <v>90000</v>
      </c>
      <c r="J601" t="s">
        <v>20</v>
      </c>
      <c r="K601" t="s">
        <v>29</v>
      </c>
      <c r="L601">
        <v>38</v>
      </c>
      <c r="M601" t="s">
        <v>22</v>
      </c>
      <c r="N601" t="s">
        <v>1885</v>
      </c>
    </row>
    <row r="602" spans="1:14" x14ac:dyDescent="0.35">
      <c r="A602" t="s">
        <v>1886</v>
      </c>
      <c r="B602" t="s">
        <v>1887</v>
      </c>
      <c r="C602" s="1">
        <v>45266</v>
      </c>
      <c r="D602" t="s">
        <v>72</v>
      </c>
      <c r="E602" t="s">
        <v>34</v>
      </c>
      <c r="F602" t="s">
        <v>252</v>
      </c>
      <c r="G602" t="s">
        <v>257</v>
      </c>
      <c r="H602">
        <v>4</v>
      </c>
      <c r="I602">
        <v>252000</v>
      </c>
      <c r="J602" t="s">
        <v>20</v>
      </c>
      <c r="K602" t="s">
        <v>41</v>
      </c>
      <c r="L602">
        <v>44</v>
      </c>
      <c r="M602" t="s">
        <v>22</v>
      </c>
      <c r="N602" t="s">
        <v>1888</v>
      </c>
    </row>
    <row r="603" spans="1:14" x14ac:dyDescent="0.35">
      <c r="A603" t="s">
        <v>1889</v>
      </c>
      <c r="B603" t="s">
        <v>1890</v>
      </c>
      <c r="C603" s="1">
        <v>45672</v>
      </c>
      <c r="D603" t="s">
        <v>45</v>
      </c>
      <c r="E603" t="s">
        <v>55</v>
      </c>
      <c r="F603" t="s">
        <v>56</v>
      </c>
      <c r="G603" t="s">
        <v>144</v>
      </c>
      <c r="H603">
        <v>4</v>
      </c>
      <c r="I603">
        <v>504000</v>
      </c>
      <c r="J603" t="s">
        <v>46</v>
      </c>
      <c r="K603" t="s">
        <v>41</v>
      </c>
      <c r="L603">
        <v>39</v>
      </c>
      <c r="M603" t="s">
        <v>30</v>
      </c>
      <c r="N603" t="s">
        <v>1891</v>
      </c>
    </row>
    <row r="604" spans="1:14" x14ac:dyDescent="0.35">
      <c r="A604" t="s">
        <v>1892</v>
      </c>
      <c r="B604" t="s">
        <v>1893</v>
      </c>
      <c r="C604" s="1">
        <v>45449</v>
      </c>
      <c r="D604" t="s">
        <v>45</v>
      </c>
      <c r="E604" t="s">
        <v>34</v>
      </c>
      <c r="F604" t="s">
        <v>163</v>
      </c>
      <c r="G604" t="s">
        <v>201</v>
      </c>
      <c r="H604">
        <v>1</v>
      </c>
      <c r="I604">
        <v>90000</v>
      </c>
      <c r="J604" t="s">
        <v>28</v>
      </c>
      <c r="K604" t="s">
        <v>29</v>
      </c>
      <c r="L604">
        <v>18</v>
      </c>
      <c r="M604" t="s">
        <v>22</v>
      </c>
      <c r="N604" t="s">
        <v>1894</v>
      </c>
    </row>
    <row r="605" spans="1:14" x14ac:dyDescent="0.35">
      <c r="A605" t="s">
        <v>1895</v>
      </c>
      <c r="B605" t="s">
        <v>1896</v>
      </c>
      <c r="C605" s="1">
        <v>45081</v>
      </c>
      <c r="D605" t="s">
        <v>66</v>
      </c>
      <c r="E605" t="s">
        <v>34</v>
      </c>
      <c r="F605" t="s">
        <v>56</v>
      </c>
      <c r="G605" t="s">
        <v>116</v>
      </c>
      <c r="H605">
        <v>4</v>
      </c>
      <c r="I605">
        <v>336000</v>
      </c>
      <c r="J605" t="s">
        <v>108</v>
      </c>
      <c r="K605" t="s">
        <v>41</v>
      </c>
      <c r="L605">
        <v>31</v>
      </c>
      <c r="M605" t="s">
        <v>30</v>
      </c>
      <c r="N605" t="s">
        <v>1897</v>
      </c>
    </row>
    <row r="606" spans="1:14" x14ac:dyDescent="0.35">
      <c r="A606" t="s">
        <v>1898</v>
      </c>
      <c r="B606" t="s">
        <v>1899</v>
      </c>
      <c r="C606" s="1">
        <v>45209</v>
      </c>
      <c r="D606" t="s">
        <v>72</v>
      </c>
      <c r="E606" t="s">
        <v>34</v>
      </c>
      <c r="F606" t="s">
        <v>252</v>
      </c>
      <c r="G606" t="s">
        <v>257</v>
      </c>
      <c r="H606">
        <v>2</v>
      </c>
      <c r="I606">
        <v>90000</v>
      </c>
      <c r="J606" t="s">
        <v>83</v>
      </c>
      <c r="K606" t="s">
        <v>29</v>
      </c>
      <c r="L606">
        <v>43</v>
      </c>
      <c r="M606" t="s">
        <v>30</v>
      </c>
      <c r="N606" t="s">
        <v>1900</v>
      </c>
    </row>
    <row r="607" spans="1:14" x14ac:dyDescent="0.35">
      <c r="A607" t="s">
        <v>1901</v>
      </c>
      <c r="B607" t="s">
        <v>1902</v>
      </c>
      <c r="C607" s="1">
        <v>45440</v>
      </c>
      <c r="D607" t="s">
        <v>66</v>
      </c>
      <c r="E607" t="s">
        <v>34</v>
      </c>
      <c r="F607" t="s">
        <v>252</v>
      </c>
      <c r="G607" t="s">
        <v>253</v>
      </c>
      <c r="H607">
        <v>3</v>
      </c>
      <c r="I607">
        <v>180000</v>
      </c>
      <c r="J607" t="s">
        <v>46</v>
      </c>
      <c r="K607" t="s">
        <v>29</v>
      </c>
      <c r="L607">
        <v>14</v>
      </c>
      <c r="M607" t="s">
        <v>30</v>
      </c>
      <c r="N607" t="s">
        <v>1903</v>
      </c>
    </row>
    <row r="608" spans="1:14" x14ac:dyDescent="0.35">
      <c r="A608" t="s">
        <v>1904</v>
      </c>
      <c r="B608" t="s">
        <v>1905</v>
      </c>
      <c r="C608" s="1">
        <v>45535</v>
      </c>
      <c r="D608" t="s">
        <v>45</v>
      </c>
      <c r="E608" t="s">
        <v>34</v>
      </c>
      <c r="F608" t="s">
        <v>26</v>
      </c>
      <c r="G608" t="s">
        <v>87</v>
      </c>
      <c r="H608">
        <v>5</v>
      </c>
      <c r="I608">
        <v>540000</v>
      </c>
      <c r="J608" t="s">
        <v>28</v>
      </c>
      <c r="K608" t="s">
        <v>21</v>
      </c>
      <c r="L608">
        <v>37</v>
      </c>
      <c r="M608" t="s">
        <v>22</v>
      </c>
      <c r="N608" t="s">
        <v>1906</v>
      </c>
    </row>
    <row r="609" spans="1:14" x14ac:dyDescent="0.35">
      <c r="A609" t="s">
        <v>1907</v>
      </c>
      <c r="B609" t="s">
        <v>1908</v>
      </c>
      <c r="C609" s="1">
        <v>45661</v>
      </c>
      <c r="D609" t="s">
        <v>66</v>
      </c>
      <c r="E609" t="s">
        <v>17</v>
      </c>
      <c r="F609" t="s">
        <v>56</v>
      </c>
      <c r="G609" t="s">
        <v>508</v>
      </c>
      <c r="H609">
        <v>4</v>
      </c>
      <c r="I609">
        <v>288000</v>
      </c>
      <c r="J609" t="s">
        <v>46</v>
      </c>
      <c r="K609" t="s">
        <v>21</v>
      </c>
      <c r="L609">
        <v>40</v>
      </c>
      <c r="M609" t="s">
        <v>30</v>
      </c>
      <c r="N609" t="s">
        <v>1909</v>
      </c>
    </row>
    <row r="610" spans="1:14" x14ac:dyDescent="0.35">
      <c r="A610" t="s">
        <v>1910</v>
      </c>
      <c r="B610" t="s">
        <v>1911</v>
      </c>
      <c r="C610" s="1">
        <v>45342</v>
      </c>
      <c r="D610" t="s">
        <v>45</v>
      </c>
      <c r="E610" t="s">
        <v>17</v>
      </c>
      <c r="F610" t="s">
        <v>56</v>
      </c>
      <c r="G610" t="s">
        <v>152</v>
      </c>
      <c r="H610">
        <v>4</v>
      </c>
      <c r="I610">
        <v>504000</v>
      </c>
      <c r="J610" t="s">
        <v>83</v>
      </c>
      <c r="K610" t="s">
        <v>41</v>
      </c>
      <c r="L610">
        <v>44</v>
      </c>
      <c r="M610" t="s">
        <v>22</v>
      </c>
      <c r="N610" t="s">
        <v>1912</v>
      </c>
    </row>
    <row r="611" spans="1:14" x14ac:dyDescent="0.35">
      <c r="A611" t="s">
        <v>1913</v>
      </c>
      <c r="B611" t="s">
        <v>1914</v>
      </c>
      <c r="C611" s="1">
        <v>45095</v>
      </c>
      <c r="D611" t="s">
        <v>66</v>
      </c>
      <c r="E611" t="s">
        <v>34</v>
      </c>
      <c r="F611" t="s">
        <v>39</v>
      </c>
      <c r="G611" t="s">
        <v>188</v>
      </c>
      <c r="H611">
        <v>1</v>
      </c>
      <c r="I611">
        <v>72000</v>
      </c>
      <c r="J611" t="s">
        <v>20</v>
      </c>
      <c r="K611" t="s">
        <v>21</v>
      </c>
      <c r="L611">
        <v>8</v>
      </c>
      <c r="M611" t="s">
        <v>30</v>
      </c>
      <c r="N611" t="s">
        <v>1915</v>
      </c>
    </row>
    <row r="612" spans="1:14" x14ac:dyDescent="0.35">
      <c r="A612" t="s">
        <v>1916</v>
      </c>
      <c r="B612" t="s">
        <v>1917</v>
      </c>
      <c r="C612" s="1">
        <v>45735</v>
      </c>
      <c r="D612" t="s">
        <v>16</v>
      </c>
      <c r="E612" t="s">
        <v>55</v>
      </c>
      <c r="F612" t="s">
        <v>39</v>
      </c>
      <c r="G612" t="s">
        <v>140</v>
      </c>
      <c r="H612">
        <v>5</v>
      </c>
      <c r="I612">
        <v>500000</v>
      </c>
      <c r="J612" t="s">
        <v>28</v>
      </c>
      <c r="K612" t="s">
        <v>29</v>
      </c>
      <c r="L612">
        <v>6</v>
      </c>
      <c r="M612" t="s">
        <v>22</v>
      </c>
      <c r="N612" t="s">
        <v>1918</v>
      </c>
    </row>
    <row r="613" spans="1:14" x14ac:dyDescent="0.35">
      <c r="A613" t="s">
        <v>1919</v>
      </c>
      <c r="B613" t="s">
        <v>1920</v>
      </c>
      <c r="C613" s="1">
        <v>45418</v>
      </c>
      <c r="D613" t="s">
        <v>16</v>
      </c>
      <c r="E613" t="s">
        <v>55</v>
      </c>
      <c r="F613" t="s">
        <v>252</v>
      </c>
      <c r="G613" t="s">
        <v>253</v>
      </c>
      <c r="H613">
        <v>4</v>
      </c>
      <c r="I613">
        <v>480000</v>
      </c>
      <c r="J613" t="s">
        <v>20</v>
      </c>
      <c r="K613" t="s">
        <v>21</v>
      </c>
      <c r="L613">
        <v>30</v>
      </c>
      <c r="M613" t="s">
        <v>30</v>
      </c>
      <c r="N613" t="s">
        <v>1921</v>
      </c>
    </row>
    <row r="614" spans="1:14" x14ac:dyDescent="0.35">
      <c r="A614" t="s">
        <v>1922</v>
      </c>
      <c r="B614" t="s">
        <v>1923</v>
      </c>
      <c r="C614" s="1">
        <v>45196</v>
      </c>
      <c r="D614" t="s">
        <v>66</v>
      </c>
      <c r="E614" t="s">
        <v>55</v>
      </c>
      <c r="F614" t="s">
        <v>26</v>
      </c>
      <c r="G614" t="s">
        <v>221</v>
      </c>
      <c r="H614">
        <v>1</v>
      </c>
      <c r="I614">
        <v>72000</v>
      </c>
      <c r="J614" t="s">
        <v>108</v>
      </c>
      <c r="K614" t="s">
        <v>21</v>
      </c>
      <c r="L614">
        <v>44</v>
      </c>
      <c r="M614" t="s">
        <v>22</v>
      </c>
      <c r="N614" t="s">
        <v>1924</v>
      </c>
    </row>
    <row r="615" spans="1:14" x14ac:dyDescent="0.35">
      <c r="A615" t="s">
        <v>1925</v>
      </c>
      <c r="B615" t="s">
        <v>1926</v>
      </c>
      <c r="C615" s="1">
        <v>45295</v>
      </c>
      <c r="D615" t="s">
        <v>45</v>
      </c>
      <c r="E615" t="s">
        <v>17</v>
      </c>
      <c r="F615" t="s">
        <v>77</v>
      </c>
      <c r="G615" t="s">
        <v>383</v>
      </c>
      <c r="H615">
        <v>1</v>
      </c>
      <c r="I615">
        <v>90000</v>
      </c>
      <c r="J615" t="s">
        <v>28</v>
      </c>
      <c r="K615" t="s">
        <v>29</v>
      </c>
      <c r="L615">
        <v>15</v>
      </c>
      <c r="M615" t="s">
        <v>30</v>
      </c>
      <c r="N615" t="s">
        <v>1927</v>
      </c>
    </row>
    <row r="616" spans="1:14" x14ac:dyDescent="0.35">
      <c r="A616" t="s">
        <v>1928</v>
      </c>
      <c r="B616" t="s">
        <v>1929</v>
      </c>
      <c r="C616" s="1">
        <v>45298</v>
      </c>
      <c r="D616" t="s">
        <v>72</v>
      </c>
      <c r="E616" t="s">
        <v>55</v>
      </c>
      <c r="F616" t="s">
        <v>26</v>
      </c>
      <c r="G616" t="s">
        <v>35</v>
      </c>
      <c r="H616">
        <v>3</v>
      </c>
      <c r="I616">
        <v>135000</v>
      </c>
      <c r="J616" t="s">
        <v>20</v>
      </c>
      <c r="K616" t="s">
        <v>29</v>
      </c>
      <c r="L616">
        <v>52</v>
      </c>
      <c r="M616" t="s">
        <v>22</v>
      </c>
      <c r="N616" t="s">
        <v>1930</v>
      </c>
    </row>
    <row r="617" spans="1:14" x14ac:dyDescent="0.35">
      <c r="A617" t="s">
        <v>1931</v>
      </c>
      <c r="B617" t="s">
        <v>1932</v>
      </c>
      <c r="C617" s="1">
        <v>45367</v>
      </c>
      <c r="D617" t="s">
        <v>45</v>
      </c>
      <c r="E617" t="s">
        <v>55</v>
      </c>
      <c r="F617" t="s">
        <v>163</v>
      </c>
      <c r="G617" t="s">
        <v>201</v>
      </c>
      <c r="H617">
        <v>2</v>
      </c>
      <c r="I617">
        <v>252000</v>
      </c>
      <c r="J617" t="s">
        <v>83</v>
      </c>
      <c r="K617" t="s">
        <v>41</v>
      </c>
      <c r="L617">
        <v>24</v>
      </c>
      <c r="M617" t="s">
        <v>30</v>
      </c>
      <c r="N617" t="s">
        <v>1933</v>
      </c>
    </row>
    <row r="618" spans="1:14" x14ac:dyDescent="0.35">
      <c r="A618" t="s">
        <v>1934</v>
      </c>
      <c r="B618" t="s">
        <v>1935</v>
      </c>
      <c r="C618" s="1">
        <v>45202</v>
      </c>
      <c r="D618" t="s">
        <v>72</v>
      </c>
      <c r="E618" t="s">
        <v>34</v>
      </c>
      <c r="F618" t="s">
        <v>252</v>
      </c>
      <c r="G618" t="s">
        <v>257</v>
      </c>
      <c r="H618">
        <v>3</v>
      </c>
      <c r="I618">
        <v>162000</v>
      </c>
      <c r="J618" t="s">
        <v>28</v>
      </c>
      <c r="K618" t="s">
        <v>21</v>
      </c>
      <c r="L618">
        <v>52</v>
      </c>
      <c r="M618" t="s">
        <v>22</v>
      </c>
      <c r="N618" t="s">
        <v>1936</v>
      </c>
    </row>
    <row r="619" spans="1:14" x14ac:dyDescent="0.35">
      <c r="A619" t="s">
        <v>1937</v>
      </c>
      <c r="B619" t="s">
        <v>1938</v>
      </c>
      <c r="C619" s="1">
        <v>45643</v>
      </c>
      <c r="D619" t="s">
        <v>72</v>
      </c>
      <c r="E619" t="s">
        <v>34</v>
      </c>
      <c r="F619" t="s">
        <v>56</v>
      </c>
      <c r="G619" t="s">
        <v>116</v>
      </c>
      <c r="H619">
        <v>4</v>
      </c>
      <c r="I619">
        <v>252000</v>
      </c>
      <c r="J619" t="s">
        <v>83</v>
      </c>
      <c r="K619" t="s">
        <v>41</v>
      </c>
      <c r="L619">
        <v>52</v>
      </c>
      <c r="M619" t="s">
        <v>30</v>
      </c>
      <c r="N619" t="s">
        <v>896</v>
      </c>
    </row>
    <row r="620" spans="1:14" x14ac:dyDescent="0.35">
      <c r="A620" t="s">
        <v>1939</v>
      </c>
      <c r="B620" t="s">
        <v>1940</v>
      </c>
      <c r="C620" s="1">
        <v>45638</v>
      </c>
      <c r="D620" t="s">
        <v>66</v>
      </c>
      <c r="E620" t="s">
        <v>55</v>
      </c>
      <c r="F620" t="s">
        <v>39</v>
      </c>
      <c r="G620" t="s">
        <v>40</v>
      </c>
      <c r="H620">
        <v>4</v>
      </c>
      <c r="I620">
        <v>336000</v>
      </c>
      <c r="J620" t="s">
        <v>46</v>
      </c>
      <c r="K620" t="s">
        <v>41</v>
      </c>
      <c r="L620">
        <v>48</v>
      </c>
      <c r="M620" t="s">
        <v>30</v>
      </c>
      <c r="N620" t="s">
        <v>1941</v>
      </c>
    </row>
    <row r="621" spans="1:14" x14ac:dyDescent="0.35">
      <c r="A621" t="s">
        <v>1942</v>
      </c>
      <c r="B621" t="s">
        <v>1943</v>
      </c>
      <c r="C621" s="1">
        <v>45729</v>
      </c>
      <c r="D621" t="s">
        <v>45</v>
      </c>
      <c r="E621" t="s">
        <v>17</v>
      </c>
      <c r="F621" t="s">
        <v>56</v>
      </c>
      <c r="G621" t="s">
        <v>152</v>
      </c>
      <c r="H621">
        <v>5</v>
      </c>
      <c r="I621">
        <v>540000</v>
      </c>
      <c r="J621" t="s">
        <v>20</v>
      </c>
      <c r="K621" t="s">
        <v>21</v>
      </c>
      <c r="L621">
        <v>43</v>
      </c>
      <c r="M621" t="s">
        <v>30</v>
      </c>
      <c r="N621" t="s">
        <v>1944</v>
      </c>
    </row>
    <row r="622" spans="1:14" x14ac:dyDescent="0.35">
      <c r="A622" t="s">
        <v>1945</v>
      </c>
      <c r="B622" t="s">
        <v>1946</v>
      </c>
      <c r="C622" s="1">
        <v>45153</v>
      </c>
      <c r="D622" t="s">
        <v>72</v>
      </c>
      <c r="E622" t="s">
        <v>17</v>
      </c>
      <c r="F622" t="s">
        <v>26</v>
      </c>
      <c r="G622" t="s">
        <v>35</v>
      </c>
      <c r="H622">
        <v>4</v>
      </c>
      <c r="I622">
        <v>252000</v>
      </c>
      <c r="J622" t="s">
        <v>46</v>
      </c>
      <c r="K622" t="s">
        <v>41</v>
      </c>
      <c r="L622">
        <v>59</v>
      </c>
      <c r="M622" t="s">
        <v>22</v>
      </c>
      <c r="N622" t="s">
        <v>1947</v>
      </c>
    </row>
    <row r="623" spans="1:14" x14ac:dyDescent="0.35">
      <c r="A623" t="s">
        <v>1948</v>
      </c>
      <c r="B623" t="s">
        <v>1949</v>
      </c>
      <c r="C623" s="1">
        <v>45616</v>
      </c>
      <c r="D623" t="s">
        <v>45</v>
      </c>
      <c r="E623" t="s">
        <v>55</v>
      </c>
      <c r="F623" t="s">
        <v>77</v>
      </c>
      <c r="G623" t="s">
        <v>383</v>
      </c>
      <c r="H623">
        <v>2</v>
      </c>
      <c r="I623">
        <v>252000</v>
      </c>
      <c r="J623" t="s">
        <v>83</v>
      </c>
      <c r="K623" t="s">
        <v>41</v>
      </c>
      <c r="L623">
        <v>38</v>
      </c>
      <c r="M623" t="s">
        <v>22</v>
      </c>
      <c r="N623" t="s">
        <v>1950</v>
      </c>
    </row>
    <row r="624" spans="1:14" x14ac:dyDescent="0.35">
      <c r="A624" t="s">
        <v>1951</v>
      </c>
      <c r="B624" t="s">
        <v>1952</v>
      </c>
      <c r="C624" s="1">
        <v>45327</v>
      </c>
      <c r="D624" t="s">
        <v>45</v>
      </c>
      <c r="E624" t="s">
        <v>17</v>
      </c>
      <c r="F624" t="s">
        <v>67</v>
      </c>
      <c r="G624" t="s">
        <v>68</v>
      </c>
      <c r="H624">
        <v>3</v>
      </c>
      <c r="I624">
        <v>378000</v>
      </c>
      <c r="J624" t="s">
        <v>28</v>
      </c>
      <c r="K624" t="s">
        <v>41</v>
      </c>
      <c r="L624">
        <v>13</v>
      </c>
      <c r="M624" t="s">
        <v>30</v>
      </c>
      <c r="N624" t="s">
        <v>1419</v>
      </c>
    </row>
    <row r="625" spans="1:14" x14ac:dyDescent="0.35">
      <c r="A625" t="s">
        <v>1953</v>
      </c>
      <c r="B625" t="s">
        <v>1954</v>
      </c>
      <c r="C625" s="1">
        <v>45624</v>
      </c>
      <c r="D625" t="s">
        <v>16</v>
      </c>
      <c r="E625" t="s">
        <v>34</v>
      </c>
      <c r="F625" t="s">
        <v>61</v>
      </c>
      <c r="G625" t="s">
        <v>156</v>
      </c>
      <c r="H625">
        <v>5</v>
      </c>
      <c r="I625">
        <v>500000</v>
      </c>
      <c r="J625" t="s">
        <v>108</v>
      </c>
      <c r="K625" t="s">
        <v>29</v>
      </c>
      <c r="L625">
        <v>25</v>
      </c>
      <c r="M625" t="s">
        <v>22</v>
      </c>
      <c r="N625" t="s">
        <v>785</v>
      </c>
    </row>
    <row r="626" spans="1:14" x14ac:dyDescent="0.35">
      <c r="A626" t="s">
        <v>1955</v>
      </c>
      <c r="B626" t="s">
        <v>1956</v>
      </c>
      <c r="C626" s="1">
        <v>45710</v>
      </c>
      <c r="D626" t="s">
        <v>66</v>
      </c>
      <c r="E626" t="s">
        <v>34</v>
      </c>
      <c r="F626" t="s">
        <v>26</v>
      </c>
      <c r="G626" t="s">
        <v>124</v>
      </c>
      <c r="H626">
        <v>5</v>
      </c>
      <c r="I626">
        <v>420000</v>
      </c>
      <c r="J626" t="s">
        <v>108</v>
      </c>
      <c r="K626" t="s">
        <v>41</v>
      </c>
      <c r="L626">
        <v>18</v>
      </c>
      <c r="M626" t="s">
        <v>22</v>
      </c>
      <c r="N626" t="s">
        <v>1957</v>
      </c>
    </row>
    <row r="627" spans="1:14" x14ac:dyDescent="0.35">
      <c r="A627" t="s">
        <v>1958</v>
      </c>
      <c r="B627" t="s">
        <v>1959</v>
      </c>
      <c r="C627" s="1">
        <v>45191</v>
      </c>
      <c r="D627" t="s">
        <v>66</v>
      </c>
      <c r="E627" t="s">
        <v>17</v>
      </c>
      <c r="F627" t="s">
        <v>18</v>
      </c>
      <c r="G627" t="s">
        <v>181</v>
      </c>
      <c r="H627">
        <v>2</v>
      </c>
      <c r="I627">
        <v>120000</v>
      </c>
      <c r="J627" t="s">
        <v>46</v>
      </c>
      <c r="K627" t="s">
        <v>29</v>
      </c>
      <c r="L627">
        <v>31</v>
      </c>
      <c r="M627" t="s">
        <v>30</v>
      </c>
      <c r="N627" t="s">
        <v>1960</v>
      </c>
    </row>
    <row r="628" spans="1:14" x14ac:dyDescent="0.35">
      <c r="A628" t="s">
        <v>1961</v>
      </c>
      <c r="B628" t="s">
        <v>1962</v>
      </c>
      <c r="C628" s="1">
        <v>45615</v>
      </c>
      <c r="D628" t="s">
        <v>72</v>
      </c>
      <c r="E628" t="s">
        <v>55</v>
      </c>
      <c r="F628" t="s">
        <v>61</v>
      </c>
      <c r="G628" t="s">
        <v>62</v>
      </c>
      <c r="H628">
        <v>5</v>
      </c>
      <c r="I628">
        <v>225000</v>
      </c>
      <c r="J628" t="s">
        <v>83</v>
      </c>
      <c r="K628" t="s">
        <v>29</v>
      </c>
      <c r="L628">
        <v>45</v>
      </c>
      <c r="M628" t="s">
        <v>22</v>
      </c>
      <c r="N628" t="s">
        <v>1963</v>
      </c>
    </row>
    <row r="629" spans="1:14" x14ac:dyDescent="0.35">
      <c r="A629" t="s">
        <v>1964</v>
      </c>
      <c r="B629" t="s">
        <v>1965</v>
      </c>
      <c r="C629" s="1">
        <v>45079</v>
      </c>
      <c r="D629" t="s">
        <v>16</v>
      </c>
      <c r="E629" t="s">
        <v>17</v>
      </c>
      <c r="F629" t="s">
        <v>67</v>
      </c>
      <c r="G629" t="s">
        <v>448</v>
      </c>
      <c r="H629">
        <v>1</v>
      </c>
      <c r="I629">
        <v>140000</v>
      </c>
      <c r="J629" t="s">
        <v>108</v>
      </c>
      <c r="K629" t="s">
        <v>41</v>
      </c>
      <c r="L629">
        <v>53</v>
      </c>
      <c r="M629" t="s">
        <v>22</v>
      </c>
      <c r="N629" t="s">
        <v>1966</v>
      </c>
    </row>
    <row r="630" spans="1:14" x14ac:dyDescent="0.35">
      <c r="A630" t="s">
        <v>1967</v>
      </c>
      <c r="B630" t="s">
        <v>1968</v>
      </c>
      <c r="C630" s="1">
        <v>45066</v>
      </c>
      <c r="D630" t="s">
        <v>45</v>
      </c>
      <c r="E630" t="s">
        <v>55</v>
      </c>
      <c r="F630" t="s">
        <v>67</v>
      </c>
      <c r="G630" t="s">
        <v>112</v>
      </c>
      <c r="H630">
        <v>1</v>
      </c>
      <c r="I630">
        <v>90000</v>
      </c>
      <c r="J630" t="s">
        <v>108</v>
      </c>
      <c r="K630" t="s">
        <v>29</v>
      </c>
      <c r="L630">
        <v>32</v>
      </c>
      <c r="M630" t="s">
        <v>22</v>
      </c>
      <c r="N630" t="s">
        <v>1969</v>
      </c>
    </row>
    <row r="631" spans="1:14" x14ac:dyDescent="0.35">
      <c r="A631" t="s">
        <v>1970</v>
      </c>
      <c r="B631" t="s">
        <v>1971</v>
      </c>
      <c r="C631" s="1">
        <v>45682</v>
      </c>
      <c r="D631" t="s">
        <v>66</v>
      </c>
      <c r="E631" t="s">
        <v>34</v>
      </c>
      <c r="F631" t="s">
        <v>39</v>
      </c>
      <c r="G631" t="s">
        <v>393</v>
      </c>
      <c r="H631">
        <v>1</v>
      </c>
      <c r="I631">
        <v>72000</v>
      </c>
      <c r="J631" t="s">
        <v>20</v>
      </c>
      <c r="K631" t="s">
        <v>21</v>
      </c>
      <c r="L631">
        <v>32</v>
      </c>
      <c r="M631" t="s">
        <v>22</v>
      </c>
      <c r="N631" t="s">
        <v>1972</v>
      </c>
    </row>
    <row r="632" spans="1:14" x14ac:dyDescent="0.35">
      <c r="A632" t="s">
        <v>1973</v>
      </c>
      <c r="B632" t="s">
        <v>1974</v>
      </c>
      <c r="C632" s="1">
        <v>45109</v>
      </c>
      <c r="D632" t="s">
        <v>72</v>
      </c>
      <c r="E632" t="s">
        <v>55</v>
      </c>
      <c r="F632" t="s">
        <v>26</v>
      </c>
      <c r="G632" t="s">
        <v>87</v>
      </c>
      <c r="H632">
        <v>4</v>
      </c>
      <c r="I632">
        <v>252000</v>
      </c>
      <c r="J632" t="s">
        <v>108</v>
      </c>
      <c r="K632" t="s">
        <v>41</v>
      </c>
      <c r="L632">
        <v>59</v>
      </c>
      <c r="M632" t="s">
        <v>22</v>
      </c>
      <c r="N632" t="s">
        <v>1975</v>
      </c>
    </row>
    <row r="633" spans="1:14" x14ac:dyDescent="0.35">
      <c r="A633" t="s">
        <v>1976</v>
      </c>
      <c r="B633" t="s">
        <v>1977</v>
      </c>
      <c r="C633" s="1">
        <v>45620</v>
      </c>
      <c r="D633" t="s">
        <v>16</v>
      </c>
      <c r="E633" t="s">
        <v>34</v>
      </c>
      <c r="F633" t="s">
        <v>77</v>
      </c>
      <c r="G633" t="s">
        <v>136</v>
      </c>
      <c r="H633">
        <v>2</v>
      </c>
      <c r="I633">
        <v>200000</v>
      </c>
      <c r="J633" t="s">
        <v>20</v>
      </c>
      <c r="K633" t="s">
        <v>29</v>
      </c>
      <c r="L633">
        <v>5</v>
      </c>
      <c r="M633" t="s">
        <v>22</v>
      </c>
      <c r="N633" t="s">
        <v>1978</v>
      </c>
    </row>
    <row r="634" spans="1:14" x14ac:dyDescent="0.35">
      <c r="A634" t="s">
        <v>1979</v>
      </c>
      <c r="B634" t="s">
        <v>1980</v>
      </c>
      <c r="C634" s="1">
        <v>45568</v>
      </c>
      <c r="D634" t="s">
        <v>45</v>
      </c>
      <c r="E634" t="s">
        <v>17</v>
      </c>
      <c r="F634" t="s">
        <v>50</v>
      </c>
      <c r="G634" t="s">
        <v>107</v>
      </c>
      <c r="H634">
        <v>2</v>
      </c>
      <c r="I634">
        <v>180000</v>
      </c>
      <c r="J634" t="s">
        <v>20</v>
      </c>
      <c r="K634" t="s">
        <v>29</v>
      </c>
      <c r="L634">
        <v>29</v>
      </c>
      <c r="M634" t="s">
        <v>22</v>
      </c>
      <c r="N634" t="s">
        <v>1981</v>
      </c>
    </row>
    <row r="635" spans="1:14" x14ac:dyDescent="0.35">
      <c r="A635" t="s">
        <v>1982</v>
      </c>
      <c r="B635" t="s">
        <v>1983</v>
      </c>
      <c r="C635" s="1">
        <v>45173</v>
      </c>
      <c r="D635" t="s">
        <v>72</v>
      </c>
      <c r="E635" t="s">
        <v>55</v>
      </c>
      <c r="F635" t="s">
        <v>77</v>
      </c>
      <c r="G635" t="s">
        <v>383</v>
      </c>
      <c r="H635">
        <v>2</v>
      </c>
      <c r="I635">
        <v>108000</v>
      </c>
      <c r="J635" t="s">
        <v>20</v>
      </c>
      <c r="K635" t="s">
        <v>21</v>
      </c>
      <c r="L635">
        <v>15</v>
      </c>
      <c r="M635" t="s">
        <v>22</v>
      </c>
      <c r="N635" t="s">
        <v>1984</v>
      </c>
    </row>
    <row r="636" spans="1:14" x14ac:dyDescent="0.35">
      <c r="A636" t="s">
        <v>1985</v>
      </c>
      <c r="B636" t="s">
        <v>1986</v>
      </c>
      <c r="C636" s="1">
        <v>45104</v>
      </c>
      <c r="D636" t="s">
        <v>66</v>
      </c>
      <c r="E636" t="s">
        <v>17</v>
      </c>
      <c r="F636" t="s">
        <v>67</v>
      </c>
      <c r="G636" t="s">
        <v>68</v>
      </c>
      <c r="H636">
        <v>5</v>
      </c>
      <c r="I636">
        <v>300000</v>
      </c>
      <c r="J636" t="s">
        <v>46</v>
      </c>
      <c r="K636" t="s">
        <v>29</v>
      </c>
      <c r="L636">
        <v>16</v>
      </c>
      <c r="M636" t="s">
        <v>22</v>
      </c>
      <c r="N636" t="s">
        <v>1987</v>
      </c>
    </row>
    <row r="637" spans="1:14" x14ac:dyDescent="0.35">
      <c r="A637" t="s">
        <v>1988</v>
      </c>
      <c r="B637" t="s">
        <v>1989</v>
      </c>
      <c r="C637" s="1">
        <v>45071</v>
      </c>
      <c r="D637" t="s">
        <v>72</v>
      </c>
      <c r="E637" t="s">
        <v>55</v>
      </c>
      <c r="F637" t="s">
        <v>77</v>
      </c>
      <c r="G637" t="s">
        <v>168</v>
      </c>
      <c r="H637">
        <v>1</v>
      </c>
      <c r="I637">
        <v>63000</v>
      </c>
      <c r="J637" t="s">
        <v>108</v>
      </c>
      <c r="K637" t="s">
        <v>41</v>
      </c>
      <c r="L637">
        <v>20</v>
      </c>
      <c r="M637" t="s">
        <v>30</v>
      </c>
      <c r="N637" t="s">
        <v>1990</v>
      </c>
    </row>
    <row r="638" spans="1:14" x14ac:dyDescent="0.35">
      <c r="A638" t="s">
        <v>1991</v>
      </c>
      <c r="B638" t="s">
        <v>1992</v>
      </c>
      <c r="C638" s="1">
        <v>45163</v>
      </c>
      <c r="D638" t="s">
        <v>16</v>
      </c>
      <c r="E638" t="s">
        <v>34</v>
      </c>
      <c r="F638" t="s">
        <v>26</v>
      </c>
      <c r="G638" t="s">
        <v>221</v>
      </c>
      <c r="H638">
        <v>3</v>
      </c>
      <c r="I638">
        <v>300000</v>
      </c>
      <c r="J638" t="s">
        <v>108</v>
      </c>
      <c r="K638" t="s">
        <v>29</v>
      </c>
      <c r="L638">
        <v>19</v>
      </c>
      <c r="M638" t="s">
        <v>30</v>
      </c>
      <c r="N638" t="s">
        <v>1993</v>
      </c>
    </row>
    <row r="639" spans="1:14" x14ac:dyDescent="0.35">
      <c r="A639" t="s">
        <v>1994</v>
      </c>
      <c r="B639" t="s">
        <v>1995</v>
      </c>
      <c r="C639" s="1">
        <v>45599</v>
      </c>
      <c r="D639" t="s">
        <v>72</v>
      </c>
      <c r="E639" t="s">
        <v>34</v>
      </c>
      <c r="F639" t="s">
        <v>77</v>
      </c>
      <c r="G639" t="s">
        <v>168</v>
      </c>
      <c r="H639">
        <v>5</v>
      </c>
      <c r="I639">
        <v>225000</v>
      </c>
      <c r="J639" t="s">
        <v>108</v>
      </c>
      <c r="K639" t="s">
        <v>29</v>
      </c>
      <c r="L639">
        <v>60</v>
      </c>
      <c r="M639" t="s">
        <v>30</v>
      </c>
      <c r="N639" t="s">
        <v>1996</v>
      </c>
    </row>
    <row r="640" spans="1:14" x14ac:dyDescent="0.35">
      <c r="A640" t="s">
        <v>1997</v>
      </c>
      <c r="B640" t="s">
        <v>1998</v>
      </c>
      <c r="C640" s="1">
        <v>45250</v>
      </c>
      <c r="D640" t="s">
        <v>16</v>
      </c>
      <c r="E640" t="s">
        <v>55</v>
      </c>
      <c r="F640" t="s">
        <v>56</v>
      </c>
      <c r="G640" t="s">
        <v>152</v>
      </c>
      <c r="H640">
        <v>2</v>
      </c>
      <c r="I640">
        <v>200000</v>
      </c>
      <c r="J640" t="s">
        <v>28</v>
      </c>
      <c r="K640" t="s">
        <v>29</v>
      </c>
      <c r="L640">
        <v>20</v>
      </c>
      <c r="M640" t="s">
        <v>22</v>
      </c>
      <c r="N640" t="s">
        <v>1999</v>
      </c>
    </row>
    <row r="641" spans="1:14" x14ac:dyDescent="0.35">
      <c r="A641" t="s">
        <v>2000</v>
      </c>
      <c r="B641" t="s">
        <v>2001</v>
      </c>
      <c r="C641" s="1">
        <v>45079</v>
      </c>
      <c r="D641" t="s">
        <v>16</v>
      </c>
      <c r="E641" t="s">
        <v>34</v>
      </c>
      <c r="F641" t="s">
        <v>67</v>
      </c>
      <c r="G641" t="s">
        <v>448</v>
      </c>
      <c r="H641">
        <v>2</v>
      </c>
      <c r="I641">
        <v>240000</v>
      </c>
      <c r="J641" t="s">
        <v>20</v>
      </c>
      <c r="K641" t="s">
        <v>21</v>
      </c>
      <c r="L641">
        <v>52</v>
      </c>
      <c r="M641" t="s">
        <v>22</v>
      </c>
      <c r="N641" t="s">
        <v>2002</v>
      </c>
    </row>
    <row r="642" spans="1:14" x14ac:dyDescent="0.35">
      <c r="A642" t="s">
        <v>2003</v>
      </c>
      <c r="B642" t="s">
        <v>2004</v>
      </c>
      <c r="C642" s="1">
        <v>45251</v>
      </c>
      <c r="D642" t="s">
        <v>66</v>
      </c>
      <c r="E642" t="s">
        <v>34</v>
      </c>
      <c r="F642" t="s">
        <v>61</v>
      </c>
      <c r="G642" t="s">
        <v>62</v>
      </c>
      <c r="H642">
        <v>2</v>
      </c>
      <c r="I642">
        <v>168000</v>
      </c>
      <c r="J642" t="s">
        <v>83</v>
      </c>
      <c r="K642" t="s">
        <v>41</v>
      </c>
      <c r="L642">
        <v>22</v>
      </c>
      <c r="M642" t="s">
        <v>22</v>
      </c>
      <c r="N642" t="s">
        <v>527</v>
      </c>
    </row>
    <row r="643" spans="1:14" x14ac:dyDescent="0.35">
      <c r="A643" t="s">
        <v>2005</v>
      </c>
      <c r="B643" t="s">
        <v>2006</v>
      </c>
      <c r="C643" s="1">
        <v>45725</v>
      </c>
      <c r="D643" t="s">
        <v>72</v>
      </c>
      <c r="E643" t="s">
        <v>55</v>
      </c>
      <c r="F643" t="s">
        <v>163</v>
      </c>
      <c r="G643" t="s">
        <v>201</v>
      </c>
      <c r="H643">
        <v>1</v>
      </c>
      <c r="I643">
        <v>63000</v>
      </c>
      <c r="J643" t="s">
        <v>46</v>
      </c>
      <c r="K643" t="s">
        <v>41</v>
      </c>
      <c r="L643">
        <v>57</v>
      </c>
      <c r="M643" t="s">
        <v>22</v>
      </c>
      <c r="N643" t="s">
        <v>2007</v>
      </c>
    </row>
    <row r="644" spans="1:14" x14ac:dyDescent="0.35">
      <c r="A644" t="s">
        <v>2008</v>
      </c>
      <c r="B644" t="s">
        <v>2009</v>
      </c>
      <c r="C644" s="1">
        <v>45451</v>
      </c>
      <c r="D644" t="s">
        <v>72</v>
      </c>
      <c r="E644" t="s">
        <v>55</v>
      </c>
      <c r="F644" t="s">
        <v>18</v>
      </c>
      <c r="G644" t="s">
        <v>19</v>
      </c>
      <c r="H644">
        <v>5</v>
      </c>
      <c r="I644">
        <v>315000</v>
      </c>
      <c r="J644" t="s">
        <v>83</v>
      </c>
      <c r="K644" t="s">
        <v>41</v>
      </c>
      <c r="L644">
        <v>42</v>
      </c>
      <c r="M644" t="s">
        <v>22</v>
      </c>
      <c r="N644" t="s">
        <v>2010</v>
      </c>
    </row>
    <row r="645" spans="1:14" x14ac:dyDescent="0.35">
      <c r="A645" t="s">
        <v>2011</v>
      </c>
      <c r="B645" t="s">
        <v>2012</v>
      </c>
      <c r="C645" s="1">
        <v>45297</v>
      </c>
      <c r="D645" t="s">
        <v>66</v>
      </c>
      <c r="E645" t="s">
        <v>17</v>
      </c>
      <c r="F645" t="s">
        <v>18</v>
      </c>
      <c r="G645" t="s">
        <v>19</v>
      </c>
      <c r="H645">
        <v>1</v>
      </c>
      <c r="I645">
        <v>84000</v>
      </c>
      <c r="J645" t="s">
        <v>46</v>
      </c>
      <c r="K645" t="s">
        <v>41</v>
      </c>
      <c r="L645">
        <v>15</v>
      </c>
      <c r="M645" t="s">
        <v>22</v>
      </c>
      <c r="N645" t="s">
        <v>2013</v>
      </c>
    </row>
    <row r="646" spans="1:14" x14ac:dyDescent="0.35">
      <c r="A646" t="s">
        <v>2014</v>
      </c>
      <c r="B646" t="s">
        <v>2015</v>
      </c>
      <c r="C646" s="1">
        <v>45743</v>
      </c>
      <c r="D646" t="s">
        <v>45</v>
      </c>
      <c r="E646" t="s">
        <v>34</v>
      </c>
      <c r="F646" t="s">
        <v>26</v>
      </c>
      <c r="G646" t="s">
        <v>221</v>
      </c>
      <c r="H646">
        <v>4</v>
      </c>
      <c r="I646">
        <v>432000</v>
      </c>
      <c r="J646" t="s">
        <v>108</v>
      </c>
      <c r="K646" t="s">
        <v>21</v>
      </c>
      <c r="L646">
        <v>16</v>
      </c>
      <c r="M646" t="s">
        <v>22</v>
      </c>
      <c r="N646" t="s">
        <v>2016</v>
      </c>
    </row>
    <row r="647" spans="1:14" x14ac:dyDescent="0.35">
      <c r="A647" t="s">
        <v>2017</v>
      </c>
      <c r="B647" t="s">
        <v>2018</v>
      </c>
      <c r="C647" s="1">
        <v>45555</v>
      </c>
      <c r="D647" t="s">
        <v>45</v>
      </c>
      <c r="E647" t="s">
        <v>34</v>
      </c>
      <c r="F647" t="s">
        <v>18</v>
      </c>
      <c r="G647" t="s">
        <v>103</v>
      </c>
      <c r="H647">
        <v>5</v>
      </c>
      <c r="I647">
        <v>540000</v>
      </c>
      <c r="J647" t="s">
        <v>108</v>
      </c>
      <c r="K647" t="s">
        <v>21</v>
      </c>
      <c r="L647">
        <v>25</v>
      </c>
      <c r="M647" t="s">
        <v>22</v>
      </c>
      <c r="N647" t="s">
        <v>1326</v>
      </c>
    </row>
    <row r="648" spans="1:14" x14ac:dyDescent="0.35">
      <c r="A648" t="s">
        <v>2019</v>
      </c>
      <c r="B648" t="s">
        <v>2020</v>
      </c>
      <c r="C648" s="1">
        <v>45423</v>
      </c>
      <c r="D648" t="s">
        <v>66</v>
      </c>
      <c r="E648" t="s">
        <v>17</v>
      </c>
      <c r="F648" t="s">
        <v>39</v>
      </c>
      <c r="G648" t="s">
        <v>140</v>
      </c>
      <c r="H648">
        <v>2</v>
      </c>
      <c r="I648">
        <v>120000</v>
      </c>
      <c r="J648" t="s">
        <v>83</v>
      </c>
      <c r="K648" t="s">
        <v>29</v>
      </c>
      <c r="L648">
        <v>25</v>
      </c>
      <c r="M648" t="s">
        <v>30</v>
      </c>
      <c r="N648" t="s">
        <v>2021</v>
      </c>
    </row>
    <row r="649" spans="1:14" x14ac:dyDescent="0.35">
      <c r="A649" t="s">
        <v>2022</v>
      </c>
      <c r="B649" t="s">
        <v>2023</v>
      </c>
      <c r="C649" s="1">
        <v>45095</v>
      </c>
      <c r="D649" t="s">
        <v>45</v>
      </c>
      <c r="E649" t="s">
        <v>17</v>
      </c>
      <c r="F649" t="s">
        <v>18</v>
      </c>
      <c r="G649" t="s">
        <v>19</v>
      </c>
      <c r="H649">
        <v>4</v>
      </c>
      <c r="I649">
        <v>360000</v>
      </c>
      <c r="J649" t="s">
        <v>83</v>
      </c>
      <c r="K649" t="s">
        <v>29</v>
      </c>
      <c r="L649">
        <v>5</v>
      </c>
      <c r="M649" t="s">
        <v>22</v>
      </c>
      <c r="N649" t="s">
        <v>2024</v>
      </c>
    </row>
    <row r="650" spans="1:14" x14ac:dyDescent="0.35">
      <c r="A650" t="s">
        <v>2025</v>
      </c>
      <c r="B650" t="s">
        <v>2026</v>
      </c>
      <c r="C650" s="1">
        <v>45302</v>
      </c>
      <c r="D650" t="s">
        <v>72</v>
      </c>
      <c r="E650" t="s">
        <v>17</v>
      </c>
      <c r="F650" t="s">
        <v>252</v>
      </c>
      <c r="G650" t="s">
        <v>257</v>
      </c>
      <c r="H650">
        <v>2</v>
      </c>
      <c r="I650">
        <v>90000</v>
      </c>
      <c r="J650" t="s">
        <v>83</v>
      </c>
      <c r="K650" t="s">
        <v>29</v>
      </c>
      <c r="L650">
        <v>37</v>
      </c>
      <c r="M650" t="s">
        <v>22</v>
      </c>
      <c r="N650" t="s">
        <v>2027</v>
      </c>
    </row>
    <row r="651" spans="1:14" x14ac:dyDescent="0.35">
      <c r="A651" t="s">
        <v>2028</v>
      </c>
      <c r="B651" t="s">
        <v>2029</v>
      </c>
      <c r="C651" s="1">
        <v>45567</v>
      </c>
      <c r="D651" t="s">
        <v>72</v>
      </c>
      <c r="E651" t="s">
        <v>34</v>
      </c>
      <c r="F651" t="s">
        <v>67</v>
      </c>
      <c r="G651" t="s">
        <v>112</v>
      </c>
      <c r="H651">
        <v>3</v>
      </c>
      <c r="I651">
        <v>189000</v>
      </c>
      <c r="J651" t="s">
        <v>108</v>
      </c>
      <c r="K651" t="s">
        <v>41</v>
      </c>
      <c r="L651">
        <v>20</v>
      </c>
      <c r="M651" t="s">
        <v>22</v>
      </c>
      <c r="N651" t="s">
        <v>2030</v>
      </c>
    </row>
    <row r="652" spans="1:14" x14ac:dyDescent="0.35">
      <c r="A652" t="s">
        <v>2031</v>
      </c>
      <c r="B652" t="s">
        <v>2032</v>
      </c>
      <c r="C652" s="1">
        <v>45501</v>
      </c>
      <c r="D652" t="s">
        <v>16</v>
      </c>
      <c r="E652" t="s">
        <v>34</v>
      </c>
      <c r="F652" t="s">
        <v>61</v>
      </c>
      <c r="G652" t="s">
        <v>99</v>
      </c>
      <c r="H652">
        <v>5</v>
      </c>
      <c r="I652">
        <v>500000</v>
      </c>
      <c r="J652" t="s">
        <v>28</v>
      </c>
      <c r="K652" t="s">
        <v>29</v>
      </c>
      <c r="L652">
        <v>15</v>
      </c>
      <c r="M652" t="s">
        <v>22</v>
      </c>
      <c r="N652" t="s">
        <v>2033</v>
      </c>
    </row>
    <row r="653" spans="1:14" x14ac:dyDescent="0.35">
      <c r="A653" t="s">
        <v>2034</v>
      </c>
      <c r="B653" t="s">
        <v>2035</v>
      </c>
      <c r="C653" s="1">
        <v>45705</v>
      </c>
      <c r="D653" t="s">
        <v>45</v>
      </c>
      <c r="E653" t="s">
        <v>17</v>
      </c>
      <c r="F653" t="s">
        <v>50</v>
      </c>
      <c r="G653" t="s">
        <v>51</v>
      </c>
      <c r="H653">
        <v>1</v>
      </c>
      <c r="I653">
        <v>108000</v>
      </c>
      <c r="J653" t="s">
        <v>83</v>
      </c>
      <c r="K653" t="s">
        <v>21</v>
      </c>
      <c r="L653">
        <v>22</v>
      </c>
      <c r="M653" t="s">
        <v>30</v>
      </c>
      <c r="N653" t="s">
        <v>2036</v>
      </c>
    </row>
    <row r="654" spans="1:14" x14ac:dyDescent="0.35">
      <c r="A654" t="s">
        <v>2037</v>
      </c>
      <c r="B654" t="s">
        <v>2038</v>
      </c>
      <c r="C654" s="1">
        <v>45098</v>
      </c>
      <c r="D654" t="s">
        <v>45</v>
      </c>
      <c r="E654" t="s">
        <v>34</v>
      </c>
      <c r="F654" t="s">
        <v>67</v>
      </c>
      <c r="G654" t="s">
        <v>120</v>
      </c>
      <c r="H654">
        <v>3</v>
      </c>
      <c r="I654">
        <v>270000</v>
      </c>
      <c r="J654" t="s">
        <v>108</v>
      </c>
      <c r="K654" t="s">
        <v>29</v>
      </c>
      <c r="L654">
        <v>37</v>
      </c>
      <c r="M654" t="s">
        <v>30</v>
      </c>
      <c r="N654" t="s">
        <v>2039</v>
      </c>
    </row>
    <row r="655" spans="1:14" x14ac:dyDescent="0.35">
      <c r="A655" t="s">
        <v>2040</v>
      </c>
      <c r="B655" t="s">
        <v>2041</v>
      </c>
      <c r="C655" s="1">
        <v>45072</v>
      </c>
      <c r="D655" t="s">
        <v>16</v>
      </c>
      <c r="E655" t="s">
        <v>17</v>
      </c>
      <c r="F655" t="s">
        <v>39</v>
      </c>
      <c r="G655" t="s">
        <v>40</v>
      </c>
      <c r="H655">
        <v>5</v>
      </c>
      <c r="I655">
        <v>500000</v>
      </c>
      <c r="J655" t="s">
        <v>46</v>
      </c>
      <c r="K655" t="s">
        <v>29</v>
      </c>
      <c r="L655">
        <v>31</v>
      </c>
      <c r="M655" t="s">
        <v>30</v>
      </c>
      <c r="N655" t="s">
        <v>2042</v>
      </c>
    </row>
    <row r="656" spans="1:14" x14ac:dyDescent="0.35">
      <c r="A656" t="s">
        <v>2043</v>
      </c>
      <c r="B656" t="s">
        <v>2044</v>
      </c>
      <c r="C656" s="1">
        <v>45494</v>
      </c>
      <c r="D656" t="s">
        <v>16</v>
      </c>
      <c r="E656" t="s">
        <v>55</v>
      </c>
      <c r="F656" t="s">
        <v>77</v>
      </c>
      <c r="G656" t="s">
        <v>383</v>
      </c>
      <c r="H656">
        <v>1</v>
      </c>
      <c r="I656">
        <v>120000</v>
      </c>
      <c r="J656" t="s">
        <v>20</v>
      </c>
      <c r="K656" t="s">
        <v>21</v>
      </c>
      <c r="L656">
        <v>59</v>
      </c>
      <c r="M656" t="s">
        <v>22</v>
      </c>
      <c r="N656" t="s">
        <v>2045</v>
      </c>
    </row>
    <row r="657" spans="1:14" x14ac:dyDescent="0.35">
      <c r="A657" t="s">
        <v>2046</v>
      </c>
      <c r="B657" t="s">
        <v>2047</v>
      </c>
      <c r="C657" s="1">
        <v>45127</v>
      </c>
      <c r="D657" t="s">
        <v>45</v>
      </c>
      <c r="E657" t="s">
        <v>55</v>
      </c>
      <c r="F657" t="s">
        <v>163</v>
      </c>
      <c r="G657" t="s">
        <v>164</v>
      </c>
      <c r="H657">
        <v>3</v>
      </c>
      <c r="I657">
        <v>324000</v>
      </c>
      <c r="J657" t="s">
        <v>46</v>
      </c>
      <c r="K657" t="s">
        <v>21</v>
      </c>
      <c r="L657">
        <v>44</v>
      </c>
      <c r="M657" t="s">
        <v>30</v>
      </c>
      <c r="N657" t="s">
        <v>2048</v>
      </c>
    </row>
    <row r="658" spans="1:14" x14ac:dyDescent="0.35">
      <c r="A658" t="s">
        <v>2049</v>
      </c>
      <c r="B658" t="s">
        <v>2050</v>
      </c>
      <c r="C658" s="1">
        <v>45077</v>
      </c>
      <c r="D658" t="s">
        <v>66</v>
      </c>
      <c r="E658" t="s">
        <v>17</v>
      </c>
      <c r="F658" t="s">
        <v>18</v>
      </c>
      <c r="G658" t="s">
        <v>103</v>
      </c>
      <c r="H658">
        <v>2</v>
      </c>
      <c r="I658">
        <v>168000</v>
      </c>
      <c r="J658" t="s">
        <v>46</v>
      </c>
      <c r="K658" t="s">
        <v>41</v>
      </c>
      <c r="L658">
        <v>12</v>
      </c>
      <c r="M658" t="s">
        <v>22</v>
      </c>
      <c r="N658" t="s">
        <v>2051</v>
      </c>
    </row>
    <row r="659" spans="1:14" x14ac:dyDescent="0.35">
      <c r="A659" t="s">
        <v>2052</v>
      </c>
      <c r="B659" t="s">
        <v>2053</v>
      </c>
      <c r="C659" s="1">
        <v>45747</v>
      </c>
      <c r="D659" t="s">
        <v>72</v>
      </c>
      <c r="E659" t="s">
        <v>55</v>
      </c>
      <c r="F659" t="s">
        <v>56</v>
      </c>
      <c r="G659" t="s">
        <v>508</v>
      </c>
      <c r="H659">
        <v>2</v>
      </c>
      <c r="I659">
        <v>108000</v>
      </c>
      <c r="J659" t="s">
        <v>108</v>
      </c>
      <c r="K659" t="s">
        <v>21</v>
      </c>
      <c r="L659">
        <v>48</v>
      </c>
      <c r="M659" t="s">
        <v>30</v>
      </c>
      <c r="N659" t="s">
        <v>2054</v>
      </c>
    </row>
    <row r="660" spans="1:14" x14ac:dyDescent="0.35">
      <c r="A660" t="s">
        <v>2055</v>
      </c>
      <c r="B660" t="s">
        <v>2056</v>
      </c>
      <c r="C660" s="1">
        <v>45485</v>
      </c>
      <c r="D660" t="s">
        <v>16</v>
      </c>
      <c r="E660" t="s">
        <v>34</v>
      </c>
      <c r="F660" t="s">
        <v>18</v>
      </c>
      <c r="G660" t="s">
        <v>181</v>
      </c>
      <c r="H660">
        <v>1</v>
      </c>
      <c r="I660">
        <v>120000</v>
      </c>
      <c r="J660" t="s">
        <v>108</v>
      </c>
      <c r="K660" t="s">
        <v>21</v>
      </c>
      <c r="L660">
        <v>46</v>
      </c>
      <c r="M660" t="s">
        <v>30</v>
      </c>
      <c r="N660" t="s">
        <v>2057</v>
      </c>
    </row>
    <row r="661" spans="1:14" x14ac:dyDescent="0.35">
      <c r="A661" t="s">
        <v>2058</v>
      </c>
      <c r="B661" t="s">
        <v>2059</v>
      </c>
      <c r="C661" s="1">
        <v>45225</v>
      </c>
      <c r="D661" t="s">
        <v>16</v>
      </c>
      <c r="E661" t="s">
        <v>17</v>
      </c>
      <c r="F661" t="s">
        <v>18</v>
      </c>
      <c r="G661" t="s">
        <v>297</v>
      </c>
      <c r="H661">
        <v>2</v>
      </c>
      <c r="I661">
        <v>200000</v>
      </c>
      <c r="J661" t="s">
        <v>28</v>
      </c>
      <c r="K661" t="s">
        <v>29</v>
      </c>
      <c r="L661">
        <v>34</v>
      </c>
      <c r="M661" t="s">
        <v>22</v>
      </c>
      <c r="N661" t="s">
        <v>2060</v>
      </c>
    </row>
    <row r="662" spans="1:14" x14ac:dyDescent="0.35">
      <c r="A662" t="s">
        <v>2061</v>
      </c>
      <c r="B662" t="s">
        <v>2062</v>
      </c>
      <c r="C662" s="1">
        <v>45269</v>
      </c>
      <c r="D662" t="s">
        <v>16</v>
      </c>
      <c r="E662" t="s">
        <v>34</v>
      </c>
      <c r="F662" t="s">
        <v>77</v>
      </c>
      <c r="G662" t="s">
        <v>91</v>
      </c>
      <c r="H662">
        <v>3</v>
      </c>
      <c r="I662">
        <v>300000</v>
      </c>
      <c r="J662" t="s">
        <v>46</v>
      </c>
      <c r="K662" t="s">
        <v>29</v>
      </c>
      <c r="L662">
        <v>17</v>
      </c>
      <c r="M662" t="s">
        <v>30</v>
      </c>
      <c r="N662" t="s">
        <v>2063</v>
      </c>
    </row>
    <row r="663" spans="1:14" x14ac:dyDescent="0.35">
      <c r="A663" t="s">
        <v>2064</v>
      </c>
      <c r="B663" t="s">
        <v>2065</v>
      </c>
      <c r="C663" s="1">
        <v>45621</v>
      </c>
      <c r="D663" t="s">
        <v>72</v>
      </c>
      <c r="E663" t="s">
        <v>55</v>
      </c>
      <c r="F663" t="s">
        <v>50</v>
      </c>
      <c r="G663" t="s">
        <v>51</v>
      </c>
      <c r="H663">
        <v>1</v>
      </c>
      <c r="I663">
        <v>54000</v>
      </c>
      <c r="J663" t="s">
        <v>28</v>
      </c>
      <c r="K663" t="s">
        <v>21</v>
      </c>
      <c r="L663">
        <v>31</v>
      </c>
      <c r="M663" t="s">
        <v>30</v>
      </c>
      <c r="N663" t="s">
        <v>2066</v>
      </c>
    </row>
    <row r="664" spans="1:14" x14ac:dyDescent="0.35">
      <c r="A664" t="s">
        <v>2067</v>
      </c>
      <c r="B664" t="s">
        <v>2068</v>
      </c>
      <c r="C664" s="1">
        <v>45115</v>
      </c>
      <c r="D664" t="s">
        <v>66</v>
      </c>
      <c r="E664" t="s">
        <v>17</v>
      </c>
      <c r="F664" t="s">
        <v>39</v>
      </c>
      <c r="G664" t="s">
        <v>140</v>
      </c>
      <c r="H664">
        <v>3</v>
      </c>
      <c r="I664">
        <v>252000</v>
      </c>
      <c r="J664" t="s">
        <v>28</v>
      </c>
      <c r="K664" t="s">
        <v>41</v>
      </c>
      <c r="L664">
        <v>54</v>
      </c>
      <c r="M664" t="s">
        <v>22</v>
      </c>
      <c r="N664" t="s">
        <v>2069</v>
      </c>
    </row>
    <row r="665" spans="1:14" x14ac:dyDescent="0.35">
      <c r="A665" t="s">
        <v>2070</v>
      </c>
      <c r="B665" t="s">
        <v>2071</v>
      </c>
      <c r="C665" s="1">
        <v>45377</v>
      </c>
      <c r="D665" t="s">
        <v>45</v>
      </c>
      <c r="E665" t="s">
        <v>34</v>
      </c>
      <c r="F665" t="s">
        <v>50</v>
      </c>
      <c r="G665" t="s">
        <v>73</v>
      </c>
      <c r="H665">
        <v>2</v>
      </c>
      <c r="I665">
        <v>180000</v>
      </c>
      <c r="J665" t="s">
        <v>83</v>
      </c>
      <c r="K665" t="s">
        <v>29</v>
      </c>
      <c r="L665">
        <v>42</v>
      </c>
      <c r="M665" t="s">
        <v>30</v>
      </c>
      <c r="N665" t="s">
        <v>2072</v>
      </c>
    </row>
    <row r="666" spans="1:14" x14ac:dyDescent="0.35">
      <c r="A666" t="s">
        <v>2073</v>
      </c>
      <c r="B666" t="s">
        <v>2074</v>
      </c>
      <c r="C666" s="1">
        <v>45389</v>
      </c>
      <c r="D666" t="s">
        <v>16</v>
      </c>
      <c r="E666" t="s">
        <v>55</v>
      </c>
      <c r="F666" t="s">
        <v>18</v>
      </c>
      <c r="G666" t="s">
        <v>452</v>
      </c>
      <c r="H666">
        <v>2</v>
      </c>
      <c r="I666">
        <v>240000</v>
      </c>
      <c r="J666" t="s">
        <v>28</v>
      </c>
      <c r="K666" t="s">
        <v>21</v>
      </c>
      <c r="L666">
        <v>48</v>
      </c>
      <c r="M666" t="s">
        <v>30</v>
      </c>
      <c r="N666" t="s">
        <v>2075</v>
      </c>
    </row>
    <row r="667" spans="1:14" x14ac:dyDescent="0.35">
      <c r="A667" t="s">
        <v>2076</v>
      </c>
      <c r="B667" t="s">
        <v>2077</v>
      </c>
      <c r="C667" s="1">
        <v>45485</v>
      </c>
      <c r="D667" t="s">
        <v>45</v>
      </c>
      <c r="E667" t="s">
        <v>55</v>
      </c>
      <c r="F667" t="s">
        <v>252</v>
      </c>
      <c r="G667" t="s">
        <v>253</v>
      </c>
      <c r="H667">
        <v>4</v>
      </c>
      <c r="I667">
        <v>432000</v>
      </c>
      <c r="J667" t="s">
        <v>108</v>
      </c>
      <c r="K667" t="s">
        <v>21</v>
      </c>
      <c r="L667">
        <v>16</v>
      </c>
      <c r="M667" t="s">
        <v>22</v>
      </c>
      <c r="N667" t="s">
        <v>2078</v>
      </c>
    </row>
    <row r="668" spans="1:14" x14ac:dyDescent="0.35">
      <c r="A668" t="s">
        <v>2079</v>
      </c>
      <c r="B668" t="s">
        <v>2080</v>
      </c>
      <c r="C668" s="1">
        <v>45610</v>
      </c>
      <c r="D668" t="s">
        <v>72</v>
      </c>
      <c r="E668" t="s">
        <v>55</v>
      </c>
      <c r="F668" t="s">
        <v>67</v>
      </c>
      <c r="G668" t="s">
        <v>120</v>
      </c>
      <c r="H668">
        <v>3</v>
      </c>
      <c r="I668">
        <v>189000</v>
      </c>
      <c r="J668" t="s">
        <v>108</v>
      </c>
      <c r="K668" t="s">
        <v>41</v>
      </c>
      <c r="L668">
        <v>38</v>
      </c>
      <c r="M668" t="s">
        <v>30</v>
      </c>
      <c r="N668" t="s">
        <v>2081</v>
      </c>
    </row>
    <row r="669" spans="1:14" x14ac:dyDescent="0.35">
      <c r="A669" t="s">
        <v>2082</v>
      </c>
      <c r="B669" t="s">
        <v>2083</v>
      </c>
      <c r="C669" s="1">
        <v>45048</v>
      </c>
      <c r="D669" t="s">
        <v>45</v>
      </c>
      <c r="E669" t="s">
        <v>34</v>
      </c>
      <c r="F669" t="s">
        <v>56</v>
      </c>
      <c r="G669" t="s">
        <v>152</v>
      </c>
      <c r="H669">
        <v>4</v>
      </c>
      <c r="I669">
        <v>432000</v>
      </c>
      <c r="J669" t="s">
        <v>46</v>
      </c>
      <c r="K669" t="s">
        <v>21</v>
      </c>
      <c r="L669">
        <v>14</v>
      </c>
      <c r="M669" t="s">
        <v>22</v>
      </c>
      <c r="N669" t="s">
        <v>2084</v>
      </c>
    </row>
    <row r="670" spans="1:14" x14ac:dyDescent="0.35">
      <c r="A670" t="s">
        <v>2085</v>
      </c>
      <c r="B670" t="s">
        <v>2086</v>
      </c>
      <c r="C670" s="1">
        <v>45519</v>
      </c>
      <c r="D670" t="s">
        <v>66</v>
      </c>
      <c r="E670" t="s">
        <v>34</v>
      </c>
      <c r="F670" t="s">
        <v>163</v>
      </c>
      <c r="G670" t="s">
        <v>164</v>
      </c>
      <c r="H670">
        <v>2</v>
      </c>
      <c r="I670">
        <v>144000</v>
      </c>
      <c r="J670" t="s">
        <v>83</v>
      </c>
      <c r="K670" t="s">
        <v>21</v>
      </c>
      <c r="L670">
        <v>54</v>
      </c>
      <c r="M670" t="s">
        <v>22</v>
      </c>
      <c r="N670" t="s">
        <v>2087</v>
      </c>
    </row>
    <row r="671" spans="1:14" x14ac:dyDescent="0.35">
      <c r="A671" t="s">
        <v>2088</v>
      </c>
      <c r="B671" t="s">
        <v>2089</v>
      </c>
      <c r="C671" s="1">
        <v>45085</v>
      </c>
      <c r="D671" t="s">
        <v>16</v>
      </c>
      <c r="E671" t="s">
        <v>55</v>
      </c>
      <c r="F671" t="s">
        <v>39</v>
      </c>
      <c r="G671" t="s">
        <v>393</v>
      </c>
      <c r="H671">
        <v>2</v>
      </c>
      <c r="I671">
        <v>280000</v>
      </c>
      <c r="J671" t="s">
        <v>28</v>
      </c>
      <c r="K671" t="s">
        <v>41</v>
      </c>
      <c r="L671">
        <v>18</v>
      </c>
      <c r="M671" t="s">
        <v>22</v>
      </c>
      <c r="N671" t="s">
        <v>2090</v>
      </c>
    </row>
    <row r="672" spans="1:14" x14ac:dyDescent="0.35">
      <c r="A672" t="s">
        <v>2091</v>
      </c>
      <c r="B672" t="s">
        <v>2092</v>
      </c>
      <c r="C672" s="1">
        <v>45334</v>
      </c>
      <c r="D672" t="s">
        <v>72</v>
      </c>
      <c r="E672" t="s">
        <v>17</v>
      </c>
      <c r="F672" t="s">
        <v>26</v>
      </c>
      <c r="G672" t="s">
        <v>221</v>
      </c>
      <c r="H672">
        <v>4</v>
      </c>
      <c r="I672">
        <v>180000</v>
      </c>
      <c r="J672" t="s">
        <v>83</v>
      </c>
      <c r="K672" t="s">
        <v>29</v>
      </c>
      <c r="L672">
        <v>5</v>
      </c>
      <c r="M672" t="s">
        <v>30</v>
      </c>
      <c r="N672" t="s">
        <v>2093</v>
      </c>
    </row>
    <row r="673" spans="1:14" x14ac:dyDescent="0.35">
      <c r="A673" t="s">
        <v>2094</v>
      </c>
      <c r="B673" t="s">
        <v>2095</v>
      </c>
      <c r="C673" s="1">
        <v>45231</v>
      </c>
      <c r="D673" t="s">
        <v>16</v>
      </c>
      <c r="E673" t="s">
        <v>55</v>
      </c>
      <c r="F673" t="s">
        <v>50</v>
      </c>
      <c r="G673" t="s">
        <v>132</v>
      </c>
      <c r="H673">
        <v>4</v>
      </c>
      <c r="I673">
        <v>480000</v>
      </c>
      <c r="J673" t="s">
        <v>20</v>
      </c>
      <c r="K673" t="s">
        <v>21</v>
      </c>
      <c r="L673">
        <v>25</v>
      </c>
      <c r="M673" t="s">
        <v>22</v>
      </c>
      <c r="N673" t="s">
        <v>2096</v>
      </c>
    </row>
    <row r="674" spans="1:14" x14ac:dyDescent="0.35">
      <c r="A674" t="s">
        <v>2097</v>
      </c>
      <c r="B674" t="s">
        <v>2098</v>
      </c>
      <c r="C674" s="1">
        <v>45685</v>
      </c>
      <c r="D674" t="s">
        <v>16</v>
      </c>
      <c r="E674" t="s">
        <v>34</v>
      </c>
      <c r="F674" t="s">
        <v>77</v>
      </c>
      <c r="G674" t="s">
        <v>91</v>
      </c>
      <c r="H674">
        <v>5</v>
      </c>
      <c r="I674">
        <v>500000</v>
      </c>
      <c r="J674" t="s">
        <v>108</v>
      </c>
      <c r="K674" t="s">
        <v>29</v>
      </c>
      <c r="L674">
        <v>39</v>
      </c>
      <c r="M674" t="s">
        <v>30</v>
      </c>
      <c r="N674" t="s">
        <v>2099</v>
      </c>
    </row>
    <row r="675" spans="1:14" x14ac:dyDescent="0.35">
      <c r="A675" t="s">
        <v>2100</v>
      </c>
      <c r="B675" t="s">
        <v>2101</v>
      </c>
      <c r="C675" s="1">
        <v>45717</v>
      </c>
      <c r="D675" t="s">
        <v>66</v>
      </c>
      <c r="E675" t="s">
        <v>55</v>
      </c>
      <c r="F675" t="s">
        <v>18</v>
      </c>
      <c r="G675" t="s">
        <v>297</v>
      </c>
      <c r="H675">
        <v>4</v>
      </c>
      <c r="I675">
        <v>336000</v>
      </c>
      <c r="J675" t="s">
        <v>46</v>
      </c>
      <c r="K675" t="s">
        <v>41</v>
      </c>
      <c r="L675">
        <v>22</v>
      </c>
      <c r="M675" t="s">
        <v>22</v>
      </c>
      <c r="N675" t="s">
        <v>2102</v>
      </c>
    </row>
    <row r="676" spans="1:14" x14ac:dyDescent="0.35">
      <c r="A676" t="s">
        <v>2103</v>
      </c>
      <c r="B676" t="s">
        <v>2104</v>
      </c>
      <c r="C676" s="1">
        <v>45566</v>
      </c>
      <c r="D676" t="s">
        <v>66</v>
      </c>
      <c r="E676" t="s">
        <v>55</v>
      </c>
      <c r="F676" t="s">
        <v>77</v>
      </c>
      <c r="G676" t="s">
        <v>136</v>
      </c>
      <c r="H676">
        <v>2</v>
      </c>
      <c r="I676">
        <v>144000</v>
      </c>
      <c r="J676" t="s">
        <v>20</v>
      </c>
      <c r="K676" t="s">
        <v>21</v>
      </c>
      <c r="L676">
        <v>25</v>
      </c>
      <c r="M676" t="s">
        <v>22</v>
      </c>
      <c r="N676" t="s">
        <v>2105</v>
      </c>
    </row>
    <row r="677" spans="1:14" x14ac:dyDescent="0.35">
      <c r="A677" t="s">
        <v>2106</v>
      </c>
      <c r="B677" t="s">
        <v>2107</v>
      </c>
      <c r="C677" s="1">
        <v>45313</v>
      </c>
      <c r="D677" t="s">
        <v>16</v>
      </c>
      <c r="E677" t="s">
        <v>17</v>
      </c>
      <c r="F677" t="s">
        <v>252</v>
      </c>
      <c r="G677" t="s">
        <v>504</v>
      </c>
      <c r="H677">
        <v>5</v>
      </c>
      <c r="I677">
        <v>600000</v>
      </c>
      <c r="J677" t="s">
        <v>108</v>
      </c>
      <c r="K677" t="s">
        <v>21</v>
      </c>
      <c r="L677">
        <v>45</v>
      </c>
      <c r="M677" t="s">
        <v>30</v>
      </c>
      <c r="N677" t="s">
        <v>2108</v>
      </c>
    </row>
    <row r="678" spans="1:14" x14ac:dyDescent="0.35">
      <c r="A678" t="s">
        <v>2109</v>
      </c>
      <c r="B678" t="s">
        <v>2110</v>
      </c>
      <c r="C678" s="1">
        <v>45750</v>
      </c>
      <c r="D678" t="s">
        <v>66</v>
      </c>
      <c r="E678" t="s">
        <v>34</v>
      </c>
      <c r="F678" t="s">
        <v>67</v>
      </c>
      <c r="G678" t="s">
        <v>448</v>
      </c>
      <c r="H678">
        <v>5</v>
      </c>
      <c r="I678">
        <v>420000</v>
      </c>
      <c r="J678" t="s">
        <v>20</v>
      </c>
      <c r="K678" t="s">
        <v>41</v>
      </c>
      <c r="L678">
        <v>43</v>
      </c>
      <c r="M678" t="s">
        <v>30</v>
      </c>
      <c r="N678" t="s">
        <v>2111</v>
      </c>
    </row>
    <row r="679" spans="1:14" x14ac:dyDescent="0.35">
      <c r="A679" t="s">
        <v>2112</v>
      </c>
      <c r="B679" t="s">
        <v>2113</v>
      </c>
      <c r="C679" s="1">
        <v>45271</v>
      </c>
      <c r="D679" t="s">
        <v>16</v>
      </c>
      <c r="E679" t="s">
        <v>34</v>
      </c>
      <c r="F679" t="s">
        <v>61</v>
      </c>
      <c r="G679" t="s">
        <v>99</v>
      </c>
      <c r="H679">
        <v>4</v>
      </c>
      <c r="I679">
        <v>480000</v>
      </c>
      <c r="J679" t="s">
        <v>46</v>
      </c>
      <c r="K679" t="s">
        <v>21</v>
      </c>
      <c r="L679">
        <v>46</v>
      </c>
      <c r="M679" t="s">
        <v>30</v>
      </c>
      <c r="N679" t="s">
        <v>2114</v>
      </c>
    </row>
    <row r="680" spans="1:14" x14ac:dyDescent="0.35">
      <c r="A680" t="s">
        <v>2115</v>
      </c>
      <c r="B680" t="s">
        <v>2116</v>
      </c>
      <c r="C680" s="1">
        <v>45692</v>
      </c>
      <c r="D680" t="s">
        <v>66</v>
      </c>
      <c r="E680" t="s">
        <v>55</v>
      </c>
      <c r="F680" t="s">
        <v>18</v>
      </c>
      <c r="G680" t="s">
        <v>19</v>
      </c>
      <c r="H680">
        <v>4</v>
      </c>
      <c r="I680">
        <v>336000</v>
      </c>
      <c r="J680" t="s">
        <v>83</v>
      </c>
      <c r="K680" t="s">
        <v>41</v>
      </c>
      <c r="L680">
        <v>32</v>
      </c>
      <c r="M680" t="s">
        <v>22</v>
      </c>
      <c r="N680" t="s">
        <v>2117</v>
      </c>
    </row>
    <row r="681" spans="1:14" x14ac:dyDescent="0.35">
      <c r="A681" t="s">
        <v>2118</v>
      </c>
      <c r="B681" t="s">
        <v>2119</v>
      </c>
      <c r="C681" s="1">
        <v>45482</v>
      </c>
      <c r="D681" t="s">
        <v>72</v>
      </c>
      <c r="E681" t="s">
        <v>55</v>
      </c>
      <c r="F681" t="s">
        <v>61</v>
      </c>
      <c r="G681" t="s">
        <v>156</v>
      </c>
      <c r="H681">
        <v>2</v>
      </c>
      <c r="I681">
        <v>126000</v>
      </c>
      <c r="J681" t="s">
        <v>46</v>
      </c>
      <c r="K681" t="s">
        <v>41</v>
      </c>
      <c r="L681">
        <v>37</v>
      </c>
      <c r="M681" t="s">
        <v>22</v>
      </c>
      <c r="N681" t="s">
        <v>2120</v>
      </c>
    </row>
    <row r="682" spans="1:14" x14ac:dyDescent="0.35">
      <c r="A682" t="s">
        <v>2121</v>
      </c>
      <c r="B682" t="s">
        <v>2122</v>
      </c>
      <c r="C682" s="1">
        <v>45393</v>
      </c>
      <c r="D682" t="s">
        <v>66</v>
      </c>
      <c r="E682" t="s">
        <v>17</v>
      </c>
      <c r="F682" t="s">
        <v>56</v>
      </c>
      <c r="G682" t="s">
        <v>57</v>
      </c>
      <c r="H682">
        <v>4</v>
      </c>
      <c r="I682">
        <v>240000</v>
      </c>
      <c r="J682" t="s">
        <v>46</v>
      </c>
      <c r="K682" t="s">
        <v>29</v>
      </c>
      <c r="L682">
        <v>6</v>
      </c>
      <c r="M682" t="s">
        <v>30</v>
      </c>
      <c r="N682" t="s">
        <v>2123</v>
      </c>
    </row>
    <row r="683" spans="1:14" x14ac:dyDescent="0.35">
      <c r="A683" t="s">
        <v>2124</v>
      </c>
      <c r="B683" t="s">
        <v>2125</v>
      </c>
      <c r="C683" s="1">
        <v>45072</v>
      </c>
      <c r="D683" t="s">
        <v>72</v>
      </c>
      <c r="E683" t="s">
        <v>34</v>
      </c>
      <c r="F683" t="s">
        <v>26</v>
      </c>
      <c r="G683" t="s">
        <v>87</v>
      </c>
      <c r="H683">
        <v>1</v>
      </c>
      <c r="I683">
        <v>45000</v>
      </c>
      <c r="J683" t="s">
        <v>46</v>
      </c>
      <c r="K683" t="s">
        <v>29</v>
      </c>
      <c r="L683">
        <v>34</v>
      </c>
      <c r="M683" t="s">
        <v>30</v>
      </c>
      <c r="N683" t="s">
        <v>2126</v>
      </c>
    </row>
    <row r="684" spans="1:14" x14ac:dyDescent="0.35">
      <c r="A684" t="s">
        <v>2127</v>
      </c>
      <c r="B684" t="s">
        <v>2128</v>
      </c>
      <c r="C684" s="1">
        <v>45688</v>
      </c>
      <c r="D684" t="s">
        <v>66</v>
      </c>
      <c r="E684" t="s">
        <v>55</v>
      </c>
      <c r="F684" t="s">
        <v>50</v>
      </c>
      <c r="G684" t="s">
        <v>107</v>
      </c>
      <c r="H684">
        <v>2</v>
      </c>
      <c r="I684">
        <v>120000</v>
      </c>
      <c r="J684" t="s">
        <v>46</v>
      </c>
      <c r="K684" t="s">
        <v>29</v>
      </c>
      <c r="L684">
        <v>54</v>
      </c>
      <c r="M684" t="s">
        <v>22</v>
      </c>
      <c r="N684" t="s">
        <v>2129</v>
      </c>
    </row>
    <row r="685" spans="1:14" x14ac:dyDescent="0.35">
      <c r="A685" t="s">
        <v>2130</v>
      </c>
      <c r="B685" t="s">
        <v>2131</v>
      </c>
      <c r="C685" s="1">
        <v>45172</v>
      </c>
      <c r="D685" t="s">
        <v>45</v>
      </c>
      <c r="E685" t="s">
        <v>55</v>
      </c>
      <c r="F685" t="s">
        <v>39</v>
      </c>
      <c r="G685" t="s">
        <v>188</v>
      </c>
      <c r="H685">
        <v>2</v>
      </c>
      <c r="I685">
        <v>252000</v>
      </c>
      <c r="J685" t="s">
        <v>20</v>
      </c>
      <c r="K685" t="s">
        <v>41</v>
      </c>
      <c r="L685">
        <v>5</v>
      </c>
      <c r="M685" t="s">
        <v>30</v>
      </c>
      <c r="N685" t="s">
        <v>2132</v>
      </c>
    </row>
    <row r="686" spans="1:14" x14ac:dyDescent="0.35">
      <c r="A686" t="s">
        <v>2133</v>
      </c>
      <c r="B686" t="s">
        <v>2134</v>
      </c>
      <c r="C686" s="1">
        <v>45753</v>
      </c>
      <c r="D686" t="s">
        <v>45</v>
      </c>
      <c r="E686" t="s">
        <v>34</v>
      </c>
      <c r="F686" t="s">
        <v>18</v>
      </c>
      <c r="G686" t="s">
        <v>181</v>
      </c>
      <c r="H686">
        <v>3</v>
      </c>
      <c r="I686">
        <v>324000</v>
      </c>
      <c r="J686" t="s">
        <v>83</v>
      </c>
      <c r="K686" t="s">
        <v>21</v>
      </c>
      <c r="L686">
        <v>18</v>
      </c>
      <c r="M686" t="s">
        <v>30</v>
      </c>
      <c r="N686" t="s">
        <v>2135</v>
      </c>
    </row>
    <row r="687" spans="1:14" x14ac:dyDescent="0.35">
      <c r="A687" t="s">
        <v>2136</v>
      </c>
      <c r="B687" t="s">
        <v>2137</v>
      </c>
      <c r="C687" s="1">
        <v>45497</v>
      </c>
      <c r="D687" t="s">
        <v>66</v>
      </c>
      <c r="E687" t="s">
        <v>55</v>
      </c>
      <c r="F687" t="s">
        <v>50</v>
      </c>
      <c r="G687" t="s">
        <v>148</v>
      </c>
      <c r="H687">
        <v>2</v>
      </c>
      <c r="I687">
        <v>168000</v>
      </c>
      <c r="J687" t="s">
        <v>83</v>
      </c>
      <c r="K687" t="s">
        <v>41</v>
      </c>
      <c r="L687">
        <v>10</v>
      </c>
      <c r="M687" t="s">
        <v>30</v>
      </c>
      <c r="N687" t="s">
        <v>2138</v>
      </c>
    </row>
    <row r="688" spans="1:14" x14ac:dyDescent="0.35">
      <c r="A688" t="s">
        <v>2139</v>
      </c>
      <c r="B688" t="s">
        <v>2140</v>
      </c>
      <c r="C688" s="1">
        <v>45587</v>
      </c>
      <c r="D688" t="s">
        <v>66</v>
      </c>
      <c r="E688" t="s">
        <v>55</v>
      </c>
      <c r="F688" t="s">
        <v>67</v>
      </c>
      <c r="G688" t="s">
        <v>112</v>
      </c>
      <c r="H688">
        <v>5</v>
      </c>
      <c r="I688">
        <v>420000</v>
      </c>
      <c r="J688" t="s">
        <v>83</v>
      </c>
      <c r="K688" t="s">
        <v>41</v>
      </c>
      <c r="L688">
        <v>35</v>
      </c>
      <c r="M688" t="s">
        <v>30</v>
      </c>
      <c r="N688" t="s">
        <v>2141</v>
      </c>
    </row>
    <row r="689" spans="1:14" x14ac:dyDescent="0.35">
      <c r="A689" t="s">
        <v>2142</v>
      </c>
      <c r="B689" t="s">
        <v>2143</v>
      </c>
      <c r="C689" s="1">
        <v>45540</v>
      </c>
      <c r="D689" t="s">
        <v>66</v>
      </c>
      <c r="E689" t="s">
        <v>34</v>
      </c>
      <c r="F689" t="s">
        <v>50</v>
      </c>
      <c r="G689" t="s">
        <v>148</v>
      </c>
      <c r="H689">
        <v>2</v>
      </c>
      <c r="I689">
        <v>120000</v>
      </c>
      <c r="J689" t="s">
        <v>46</v>
      </c>
      <c r="K689" t="s">
        <v>29</v>
      </c>
      <c r="L689">
        <v>59</v>
      </c>
      <c r="M689" t="s">
        <v>30</v>
      </c>
      <c r="N689" t="s">
        <v>2144</v>
      </c>
    </row>
    <row r="690" spans="1:14" x14ac:dyDescent="0.35">
      <c r="A690" t="s">
        <v>2145</v>
      </c>
      <c r="B690" t="s">
        <v>2146</v>
      </c>
      <c r="C690" s="1">
        <v>45657</v>
      </c>
      <c r="D690" t="s">
        <v>45</v>
      </c>
      <c r="E690" t="s">
        <v>17</v>
      </c>
      <c r="F690" t="s">
        <v>26</v>
      </c>
      <c r="G690" t="s">
        <v>27</v>
      </c>
      <c r="H690">
        <v>3</v>
      </c>
      <c r="I690">
        <v>270000</v>
      </c>
      <c r="J690" t="s">
        <v>28</v>
      </c>
      <c r="K690" t="s">
        <v>29</v>
      </c>
      <c r="L690">
        <v>46</v>
      </c>
      <c r="M690" t="s">
        <v>30</v>
      </c>
      <c r="N690" t="s">
        <v>2147</v>
      </c>
    </row>
    <row r="691" spans="1:14" x14ac:dyDescent="0.35">
      <c r="A691" t="s">
        <v>2148</v>
      </c>
      <c r="B691" t="s">
        <v>2149</v>
      </c>
      <c r="C691" s="1">
        <v>45171</v>
      </c>
      <c r="D691" t="s">
        <v>16</v>
      </c>
      <c r="E691" t="s">
        <v>17</v>
      </c>
      <c r="F691" t="s">
        <v>67</v>
      </c>
      <c r="G691" t="s">
        <v>112</v>
      </c>
      <c r="H691">
        <v>2</v>
      </c>
      <c r="I691">
        <v>240000</v>
      </c>
      <c r="J691" t="s">
        <v>28</v>
      </c>
      <c r="K691" t="s">
        <v>21</v>
      </c>
      <c r="L691">
        <v>46</v>
      </c>
      <c r="M691" t="s">
        <v>30</v>
      </c>
      <c r="N691" t="s">
        <v>2150</v>
      </c>
    </row>
    <row r="692" spans="1:14" x14ac:dyDescent="0.35">
      <c r="A692" t="s">
        <v>2151</v>
      </c>
      <c r="B692" t="s">
        <v>2152</v>
      </c>
      <c r="C692" s="1">
        <v>45454</v>
      </c>
      <c r="D692" t="s">
        <v>16</v>
      </c>
      <c r="E692" t="s">
        <v>55</v>
      </c>
      <c r="F692" t="s">
        <v>67</v>
      </c>
      <c r="G692" t="s">
        <v>128</v>
      </c>
      <c r="H692">
        <v>4</v>
      </c>
      <c r="I692">
        <v>480000</v>
      </c>
      <c r="J692" t="s">
        <v>46</v>
      </c>
      <c r="K692" t="s">
        <v>21</v>
      </c>
      <c r="L692">
        <v>40</v>
      </c>
      <c r="M692" t="s">
        <v>30</v>
      </c>
      <c r="N692" t="s">
        <v>2153</v>
      </c>
    </row>
    <row r="693" spans="1:14" x14ac:dyDescent="0.35">
      <c r="A693" t="s">
        <v>2154</v>
      </c>
      <c r="B693" t="s">
        <v>2155</v>
      </c>
      <c r="C693" s="1">
        <v>45306</v>
      </c>
      <c r="D693" t="s">
        <v>66</v>
      </c>
      <c r="E693" t="s">
        <v>17</v>
      </c>
      <c r="F693" t="s">
        <v>163</v>
      </c>
      <c r="G693" t="s">
        <v>536</v>
      </c>
      <c r="H693">
        <v>3</v>
      </c>
      <c r="I693">
        <v>216000</v>
      </c>
      <c r="J693" t="s">
        <v>83</v>
      </c>
      <c r="K693" t="s">
        <v>21</v>
      </c>
      <c r="L693">
        <v>42</v>
      </c>
      <c r="M693" t="s">
        <v>22</v>
      </c>
      <c r="N693" t="s">
        <v>2156</v>
      </c>
    </row>
    <row r="694" spans="1:14" x14ac:dyDescent="0.35">
      <c r="A694" t="s">
        <v>2157</v>
      </c>
      <c r="B694" t="s">
        <v>2158</v>
      </c>
      <c r="C694" s="1">
        <v>45234</v>
      </c>
      <c r="D694" t="s">
        <v>16</v>
      </c>
      <c r="E694" t="s">
        <v>55</v>
      </c>
      <c r="F694" t="s">
        <v>252</v>
      </c>
      <c r="G694" t="s">
        <v>253</v>
      </c>
      <c r="H694">
        <v>2</v>
      </c>
      <c r="I694">
        <v>240000</v>
      </c>
      <c r="J694" t="s">
        <v>46</v>
      </c>
      <c r="K694" t="s">
        <v>21</v>
      </c>
      <c r="L694">
        <v>22</v>
      </c>
      <c r="M694" t="s">
        <v>22</v>
      </c>
      <c r="N694" t="s">
        <v>981</v>
      </c>
    </row>
    <row r="695" spans="1:14" x14ac:dyDescent="0.35">
      <c r="A695" t="s">
        <v>2159</v>
      </c>
      <c r="B695" t="s">
        <v>2160</v>
      </c>
      <c r="C695" s="1">
        <v>45551</v>
      </c>
      <c r="D695" t="s">
        <v>45</v>
      </c>
      <c r="E695" t="s">
        <v>17</v>
      </c>
      <c r="F695" t="s">
        <v>163</v>
      </c>
      <c r="G695" t="s">
        <v>164</v>
      </c>
      <c r="H695">
        <v>3</v>
      </c>
      <c r="I695">
        <v>270000</v>
      </c>
      <c r="J695" t="s">
        <v>46</v>
      </c>
      <c r="K695" t="s">
        <v>29</v>
      </c>
      <c r="L695">
        <v>45</v>
      </c>
      <c r="M695" t="s">
        <v>30</v>
      </c>
      <c r="N695" t="s">
        <v>2161</v>
      </c>
    </row>
    <row r="696" spans="1:14" x14ac:dyDescent="0.35">
      <c r="A696" t="s">
        <v>2162</v>
      </c>
      <c r="B696" t="s">
        <v>2163</v>
      </c>
      <c r="C696" s="1">
        <v>45427</v>
      </c>
      <c r="D696" t="s">
        <v>72</v>
      </c>
      <c r="E696" t="s">
        <v>55</v>
      </c>
      <c r="F696" t="s">
        <v>26</v>
      </c>
      <c r="G696" t="s">
        <v>221</v>
      </c>
      <c r="H696">
        <v>3</v>
      </c>
      <c r="I696">
        <v>135000</v>
      </c>
      <c r="J696" t="s">
        <v>108</v>
      </c>
      <c r="K696" t="s">
        <v>29</v>
      </c>
      <c r="L696">
        <v>60</v>
      </c>
      <c r="M696" t="s">
        <v>30</v>
      </c>
      <c r="N696" t="s">
        <v>2164</v>
      </c>
    </row>
    <row r="697" spans="1:14" x14ac:dyDescent="0.35">
      <c r="A697" t="s">
        <v>2165</v>
      </c>
      <c r="B697" t="s">
        <v>2166</v>
      </c>
      <c r="C697" s="1">
        <v>45257</v>
      </c>
      <c r="D697" t="s">
        <v>66</v>
      </c>
      <c r="E697" t="s">
        <v>34</v>
      </c>
      <c r="F697" t="s">
        <v>252</v>
      </c>
      <c r="G697" t="s">
        <v>307</v>
      </c>
      <c r="H697">
        <v>5</v>
      </c>
      <c r="I697">
        <v>420000</v>
      </c>
      <c r="J697" t="s">
        <v>83</v>
      </c>
      <c r="K697" t="s">
        <v>41</v>
      </c>
      <c r="L697">
        <v>43</v>
      </c>
      <c r="M697" t="s">
        <v>22</v>
      </c>
      <c r="N697" t="s">
        <v>2167</v>
      </c>
    </row>
    <row r="698" spans="1:14" x14ac:dyDescent="0.35">
      <c r="A698" t="s">
        <v>2168</v>
      </c>
      <c r="B698" t="s">
        <v>2169</v>
      </c>
      <c r="C698" s="1">
        <v>45432</v>
      </c>
      <c r="D698" t="s">
        <v>66</v>
      </c>
      <c r="E698" t="s">
        <v>55</v>
      </c>
      <c r="F698" t="s">
        <v>26</v>
      </c>
      <c r="G698" t="s">
        <v>87</v>
      </c>
      <c r="H698">
        <v>4</v>
      </c>
      <c r="I698">
        <v>240000</v>
      </c>
      <c r="J698" t="s">
        <v>108</v>
      </c>
      <c r="K698" t="s">
        <v>29</v>
      </c>
      <c r="L698">
        <v>14</v>
      </c>
      <c r="M698" t="s">
        <v>22</v>
      </c>
      <c r="N698" t="s">
        <v>2170</v>
      </c>
    </row>
    <row r="699" spans="1:14" x14ac:dyDescent="0.35">
      <c r="A699" t="s">
        <v>2171</v>
      </c>
      <c r="B699" t="s">
        <v>2172</v>
      </c>
      <c r="C699" s="1">
        <v>45732</v>
      </c>
      <c r="D699" t="s">
        <v>45</v>
      </c>
      <c r="E699" t="s">
        <v>17</v>
      </c>
      <c r="F699" t="s">
        <v>50</v>
      </c>
      <c r="G699" t="s">
        <v>107</v>
      </c>
      <c r="H699">
        <v>3</v>
      </c>
      <c r="I699">
        <v>270000</v>
      </c>
      <c r="J699" t="s">
        <v>28</v>
      </c>
      <c r="K699" t="s">
        <v>29</v>
      </c>
      <c r="L699">
        <v>45</v>
      </c>
      <c r="M699" t="s">
        <v>22</v>
      </c>
      <c r="N699" t="s">
        <v>2173</v>
      </c>
    </row>
    <row r="700" spans="1:14" x14ac:dyDescent="0.35">
      <c r="A700" t="s">
        <v>2174</v>
      </c>
      <c r="B700" t="s">
        <v>2175</v>
      </c>
      <c r="C700" s="1">
        <v>45388</v>
      </c>
      <c r="D700" t="s">
        <v>45</v>
      </c>
      <c r="E700" t="s">
        <v>17</v>
      </c>
      <c r="F700" t="s">
        <v>26</v>
      </c>
      <c r="G700" t="s">
        <v>87</v>
      </c>
      <c r="H700">
        <v>4</v>
      </c>
      <c r="I700">
        <v>432000</v>
      </c>
      <c r="J700" t="s">
        <v>20</v>
      </c>
      <c r="K700" t="s">
        <v>21</v>
      </c>
      <c r="L700">
        <v>42</v>
      </c>
      <c r="M700" t="s">
        <v>30</v>
      </c>
      <c r="N700" t="s">
        <v>2176</v>
      </c>
    </row>
    <row r="701" spans="1:14" x14ac:dyDescent="0.35">
      <c r="A701" t="s">
        <v>2177</v>
      </c>
      <c r="B701" t="s">
        <v>2178</v>
      </c>
      <c r="C701" s="1">
        <v>45548</v>
      </c>
      <c r="D701" t="s">
        <v>66</v>
      </c>
      <c r="E701" t="s">
        <v>55</v>
      </c>
      <c r="F701" t="s">
        <v>26</v>
      </c>
      <c r="G701" t="s">
        <v>87</v>
      </c>
      <c r="H701">
        <v>4</v>
      </c>
      <c r="I701">
        <v>240000</v>
      </c>
      <c r="J701" t="s">
        <v>83</v>
      </c>
      <c r="K701" t="s">
        <v>29</v>
      </c>
      <c r="L701">
        <v>59</v>
      </c>
      <c r="M701" t="s">
        <v>30</v>
      </c>
      <c r="N701" t="s">
        <v>2179</v>
      </c>
    </row>
    <row r="702" spans="1:14" x14ac:dyDescent="0.35">
      <c r="A702" t="s">
        <v>2180</v>
      </c>
      <c r="B702" t="s">
        <v>2181</v>
      </c>
      <c r="C702" s="1">
        <v>45718</v>
      </c>
      <c r="D702" t="s">
        <v>66</v>
      </c>
      <c r="E702" t="s">
        <v>34</v>
      </c>
      <c r="F702" t="s">
        <v>39</v>
      </c>
      <c r="G702" t="s">
        <v>393</v>
      </c>
      <c r="H702">
        <v>5</v>
      </c>
      <c r="I702">
        <v>300000</v>
      </c>
      <c r="J702" t="s">
        <v>46</v>
      </c>
      <c r="K702" t="s">
        <v>29</v>
      </c>
      <c r="L702">
        <v>30</v>
      </c>
      <c r="M702" t="s">
        <v>30</v>
      </c>
      <c r="N702" t="s">
        <v>2182</v>
      </c>
    </row>
    <row r="703" spans="1:14" x14ac:dyDescent="0.35">
      <c r="A703" t="s">
        <v>2183</v>
      </c>
      <c r="B703" t="s">
        <v>2184</v>
      </c>
      <c r="C703" s="1">
        <v>45466</v>
      </c>
      <c r="D703" t="s">
        <v>45</v>
      </c>
      <c r="E703" t="s">
        <v>17</v>
      </c>
      <c r="F703" t="s">
        <v>39</v>
      </c>
      <c r="G703" t="s">
        <v>393</v>
      </c>
      <c r="H703">
        <v>1</v>
      </c>
      <c r="I703">
        <v>126000</v>
      </c>
      <c r="J703" t="s">
        <v>108</v>
      </c>
      <c r="K703" t="s">
        <v>41</v>
      </c>
      <c r="L703">
        <v>19</v>
      </c>
      <c r="M703" t="s">
        <v>30</v>
      </c>
      <c r="N703" t="s">
        <v>2185</v>
      </c>
    </row>
    <row r="704" spans="1:14" x14ac:dyDescent="0.35">
      <c r="A704" t="s">
        <v>2186</v>
      </c>
      <c r="B704" t="s">
        <v>2187</v>
      </c>
      <c r="C704" s="1">
        <v>45319</v>
      </c>
      <c r="D704" t="s">
        <v>45</v>
      </c>
      <c r="E704" t="s">
        <v>17</v>
      </c>
      <c r="F704" t="s">
        <v>67</v>
      </c>
      <c r="G704" t="s">
        <v>448</v>
      </c>
      <c r="H704">
        <v>4</v>
      </c>
      <c r="I704">
        <v>504000</v>
      </c>
      <c r="J704" t="s">
        <v>108</v>
      </c>
      <c r="K704" t="s">
        <v>41</v>
      </c>
      <c r="L704">
        <v>39</v>
      </c>
      <c r="M704" t="s">
        <v>30</v>
      </c>
      <c r="N704" t="s">
        <v>2188</v>
      </c>
    </row>
    <row r="705" spans="1:14" x14ac:dyDescent="0.35">
      <c r="A705" t="s">
        <v>2189</v>
      </c>
      <c r="B705" t="s">
        <v>2190</v>
      </c>
      <c r="C705" s="1">
        <v>45682</v>
      </c>
      <c r="D705" t="s">
        <v>72</v>
      </c>
      <c r="E705" t="s">
        <v>34</v>
      </c>
      <c r="F705" t="s">
        <v>252</v>
      </c>
      <c r="G705" t="s">
        <v>253</v>
      </c>
      <c r="H705">
        <v>3</v>
      </c>
      <c r="I705">
        <v>135000</v>
      </c>
      <c r="J705" t="s">
        <v>83</v>
      </c>
      <c r="K705" t="s">
        <v>29</v>
      </c>
      <c r="L705">
        <v>37</v>
      </c>
      <c r="M705" t="s">
        <v>22</v>
      </c>
      <c r="N705" t="s">
        <v>2191</v>
      </c>
    </row>
    <row r="706" spans="1:14" x14ac:dyDescent="0.35">
      <c r="A706" t="s">
        <v>2192</v>
      </c>
      <c r="B706" t="s">
        <v>2193</v>
      </c>
      <c r="C706" s="1">
        <v>45480</v>
      </c>
      <c r="D706" t="s">
        <v>45</v>
      </c>
      <c r="E706" t="s">
        <v>17</v>
      </c>
      <c r="F706" t="s">
        <v>56</v>
      </c>
      <c r="G706" t="s">
        <v>508</v>
      </c>
      <c r="H706">
        <v>4</v>
      </c>
      <c r="I706">
        <v>432000</v>
      </c>
      <c r="J706" t="s">
        <v>46</v>
      </c>
      <c r="K706" t="s">
        <v>21</v>
      </c>
      <c r="L706">
        <v>7</v>
      </c>
      <c r="M706" t="s">
        <v>30</v>
      </c>
      <c r="N706" t="s">
        <v>2194</v>
      </c>
    </row>
    <row r="707" spans="1:14" x14ac:dyDescent="0.35">
      <c r="A707" t="s">
        <v>2195</v>
      </c>
      <c r="B707" t="s">
        <v>2196</v>
      </c>
      <c r="C707" s="1">
        <v>45059</v>
      </c>
      <c r="D707" t="s">
        <v>66</v>
      </c>
      <c r="E707" t="s">
        <v>34</v>
      </c>
      <c r="F707" t="s">
        <v>77</v>
      </c>
      <c r="G707" t="s">
        <v>91</v>
      </c>
      <c r="H707">
        <v>5</v>
      </c>
      <c r="I707">
        <v>360000</v>
      </c>
      <c r="J707" t="s">
        <v>83</v>
      </c>
      <c r="K707" t="s">
        <v>21</v>
      </c>
      <c r="L707">
        <v>10</v>
      </c>
      <c r="M707" t="s">
        <v>22</v>
      </c>
      <c r="N707" t="s">
        <v>2197</v>
      </c>
    </row>
    <row r="708" spans="1:14" x14ac:dyDescent="0.35">
      <c r="A708" t="s">
        <v>2198</v>
      </c>
      <c r="B708" t="s">
        <v>2199</v>
      </c>
      <c r="C708" s="1">
        <v>45048</v>
      </c>
      <c r="D708" t="s">
        <v>66</v>
      </c>
      <c r="E708" t="s">
        <v>17</v>
      </c>
      <c r="F708" t="s">
        <v>26</v>
      </c>
      <c r="G708" t="s">
        <v>35</v>
      </c>
      <c r="H708">
        <v>4</v>
      </c>
      <c r="I708">
        <v>240000</v>
      </c>
      <c r="J708" t="s">
        <v>83</v>
      </c>
      <c r="K708" t="s">
        <v>29</v>
      </c>
      <c r="L708">
        <v>34</v>
      </c>
      <c r="M708" t="s">
        <v>30</v>
      </c>
      <c r="N708" t="s">
        <v>2200</v>
      </c>
    </row>
    <row r="709" spans="1:14" x14ac:dyDescent="0.35">
      <c r="A709" t="s">
        <v>2201</v>
      </c>
      <c r="B709" t="s">
        <v>2202</v>
      </c>
      <c r="C709" s="1">
        <v>45232</v>
      </c>
      <c r="D709" t="s">
        <v>16</v>
      </c>
      <c r="E709" t="s">
        <v>17</v>
      </c>
      <c r="F709" t="s">
        <v>252</v>
      </c>
      <c r="G709" t="s">
        <v>504</v>
      </c>
      <c r="H709">
        <v>2</v>
      </c>
      <c r="I709">
        <v>240000</v>
      </c>
      <c r="J709" t="s">
        <v>108</v>
      </c>
      <c r="K709" t="s">
        <v>21</v>
      </c>
      <c r="L709">
        <v>33</v>
      </c>
      <c r="M709" t="s">
        <v>30</v>
      </c>
      <c r="N709" t="s">
        <v>845</v>
      </c>
    </row>
    <row r="710" spans="1:14" x14ac:dyDescent="0.35">
      <c r="A710" t="s">
        <v>2203</v>
      </c>
      <c r="B710" t="s">
        <v>2204</v>
      </c>
      <c r="C710" s="1">
        <v>45570</v>
      </c>
      <c r="D710" t="s">
        <v>66</v>
      </c>
      <c r="E710" t="s">
        <v>55</v>
      </c>
      <c r="F710" t="s">
        <v>50</v>
      </c>
      <c r="G710" t="s">
        <v>73</v>
      </c>
      <c r="H710">
        <v>5</v>
      </c>
      <c r="I710">
        <v>420000</v>
      </c>
      <c r="J710" t="s">
        <v>20</v>
      </c>
      <c r="K710" t="s">
        <v>41</v>
      </c>
      <c r="L710">
        <v>40</v>
      </c>
      <c r="M710" t="s">
        <v>30</v>
      </c>
      <c r="N710" t="s">
        <v>2205</v>
      </c>
    </row>
    <row r="711" spans="1:14" x14ac:dyDescent="0.35">
      <c r="A711" t="s">
        <v>2206</v>
      </c>
      <c r="B711" t="s">
        <v>2207</v>
      </c>
      <c r="C711" s="1">
        <v>45334</v>
      </c>
      <c r="D711" t="s">
        <v>72</v>
      </c>
      <c r="E711" t="s">
        <v>17</v>
      </c>
      <c r="F711" t="s">
        <v>67</v>
      </c>
      <c r="G711" t="s">
        <v>112</v>
      </c>
      <c r="H711">
        <v>4</v>
      </c>
      <c r="I711">
        <v>252000</v>
      </c>
      <c r="J711" t="s">
        <v>28</v>
      </c>
      <c r="K711" t="s">
        <v>41</v>
      </c>
      <c r="L711">
        <v>7</v>
      </c>
      <c r="M711" t="s">
        <v>22</v>
      </c>
      <c r="N711" t="s">
        <v>2208</v>
      </c>
    </row>
    <row r="712" spans="1:14" x14ac:dyDescent="0.35">
      <c r="A712" t="s">
        <v>2209</v>
      </c>
      <c r="B712" t="s">
        <v>2210</v>
      </c>
      <c r="C712" s="1">
        <v>45424</v>
      </c>
      <c r="D712" t="s">
        <v>66</v>
      </c>
      <c r="E712" t="s">
        <v>55</v>
      </c>
      <c r="F712" t="s">
        <v>56</v>
      </c>
      <c r="G712" t="s">
        <v>116</v>
      </c>
      <c r="H712">
        <v>1</v>
      </c>
      <c r="I712">
        <v>72000</v>
      </c>
      <c r="J712" t="s">
        <v>28</v>
      </c>
      <c r="K712" t="s">
        <v>21</v>
      </c>
      <c r="L712">
        <v>43</v>
      </c>
      <c r="M712" t="s">
        <v>30</v>
      </c>
      <c r="N712" t="s">
        <v>2211</v>
      </c>
    </row>
    <row r="713" spans="1:14" x14ac:dyDescent="0.35">
      <c r="A713" t="s">
        <v>2212</v>
      </c>
      <c r="B713" t="s">
        <v>2213</v>
      </c>
      <c r="C713" s="1">
        <v>45168</v>
      </c>
      <c r="D713" t="s">
        <v>16</v>
      </c>
      <c r="E713" t="s">
        <v>55</v>
      </c>
      <c r="F713" t="s">
        <v>163</v>
      </c>
      <c r="G713" t="s">
        <v>201</v>
      </c>
      <c r="H713">
        <v>1</v>
      </c>
      <c r="I713">
        <v>100000</v>
      </c>
      <c r="J713" t="s">
        <v>28</v>
      </c>
      <c r="K713" t="s">
        <v>29</v>
      </c>
      <c r="L713">
        <v>11</v>
      </c>
      <c r="M713" t="s">
        <v>30</v>
      </c>
      <c r="N713" t="s">
        <v>2214</v>
      </c>
    </row>
    <row r="714" spans="1:14" x14ac:dyDescent="0.35">
      <c r="A714" t="s">
        <v>2215</v>
      </c>
      <c r="B714" t="s">
        <v>2216</v>
      </c>
      <c r="C714" s="1">
        <v>45666</v>
      </c>
      <c r="D714" t="s">
        <v>45</v>
      </c>
      <c r="E714" t="s">
        <v>34</v>
      </c>
      <c r="F714" t="s">
        <v>26</v>
      </c>
      <c r="G714" t="s">
        <v>124</v>
      </c>
      <c r="H714">
        <v>3</v>
      </c>
      <c r="I714">
        <v>324000</v>
      </c>
      <c r="J714" t="s">
        <v>83</v>
      </c>
      <c r="K714" t="s">
        <v>21</v>
      </c>
      <c r="L714">
        <v>42</v>
      </c>
      <c r="M714" t="s">
        <v>30</v>
      </c>
      <c r="N714" t="s">
        <v>696</v>
      </c>
    </row>
    <row r="715" spans="1:14" x14ac:dyDescent="0.35">
      <c r="A715" t="s">
        <v>2217</v>
      </c>
      <c r="B715" t="s">
        <v>2218</v>
      </c>
      <c r="C715" s="1">
        <v>45307</v>
      </c>
      <c r="D715" t="s">
        <v>45</v>
      </c>
      <c r="E715" t="s">
        <v>34</v>
      </c>
      <c r="F715" t="s">
        <v>77</v>
      </c>
      <c r="G715" t="s">
        <v>78</v>
      </c>
      <c r="H715">
        <v>2</v>
      </c>
      <c r="I715">
        <v>216000</v>
      </c>
      <c r="J715" t="s">
        <v>46</v>
      </c>
      <c r="K715" t="s">
        <v>21</v>
      </c>
      <c r="L715">
        <v>33</v>
      </c>
      <c r="M715" t="s">
        <v>22</v>
      </c>
      <c r="N715" t="s">
        <v>2219</v>
      </c>
    </row>
    <row r="716" spans="1:14" x14ac:dyDescent="0.35">
      <c r="A716" t="s">
        <v>2220</v>
      </c>
      <c r="B716" t="s">
        <v>2221</v>
      </c>
      <c r="C716" s="1">
        <v>45517</v>
      </c>
      <c r="D716" t="s">
        <v>45</v>
      </c>
      <c r="E716" t="s">
        <v>55</v>
      </c>
      <c r="F716" t="s">
        <v>163</v>
      </c>
      <c r="G716" t="s">
        <v>536</v>
      </c>
      <c r="H716">
        <v>3</v>
      </c>
      <c r="I716">
        <v>270000</v>
      </c>
      <c r="J716" t="s">
        <v>28</v>
      </c>
      <c r="K716" t="s">
        <v>29</v>
      </c>
      <c r="L716">
        <v>54</v>
      </c>
      <c r="M716" t="s">
        <v>22</v>
      </c>
      <c r="N716" t="s">
        <v>2222</v>
      </c>
    </row>
    <row r="717" spans="1:14" x14ac:dyDescent="0.35">
      <c r="A717" t="s">
        <v>2223</v>
      </c>
      <c r="B717" t="s">
        <v>2224</v>
      </c>
      <c r="C717" s="1">
        <v>45133</v>
      </c>
      <c r="D717" t="s">
        <v>16</v>
      </c>
      <c r="E717" t="s">
        <v>55</v>
      </c>
      <c r="F717" t="s">
        <v>18</v>
      </c>
      <c r="G717" t="s">
        <v>297</v>
      </c>
      <c r="H717">
        <v>2</v>
      </c>
      <c r="I717">
        <v>240000</v>
      </c>
      <c r="J717" t="s">
        <v>83</v>
      </c>
      <c r="K717" t="s">
        <v>21</v>
      </c>
      <c r="L717">
        <v>24</v>
      </c>
      <c r="M717" t="s">
        <v>22</v>
      </c>
      <c r="N717" t="s">
        <v>2225</v>
      </c>
    </row>
    <row r="718" spans="1:14" x14ac:dyDescent="0.35">
      <c r="A718" t="s">
        <v>2226</v>
      </c>
      <c r="B718" t="s">
        <v>2227</v>
      </c>
      <c r="C718" s="1">
        <v>45481</v>
      </c>
      <c r="D718" t="s">
        <v>72</v>
      </c>
      <c r="E718" t="s">
        <v>34</v>
      </c>
      <c r="F718" t="s">
        <v>50</v>
      </c>
      <c r="G718" t="s">
        <v>107</v>
      </c>
      <c r="H718">
        <v>1</v>
      </c>
      <c r="I718">
        <v>54000</v>
      </c>
      <c r="J718" t="s">
        <v>20</v>
      </c>
      <c r="K718" t="s">
        <v>21</v>
      </c>
      <c r="L718">
        <v>17</v>
      </c>
      <c r="M718" t="s">
        <v>30</v>
      </c>
      <c r="N718" t="s">
        <v>2228</v>
      </c>
    </row>
    <row r="719" spans="1:14" x14ac:dyDescent="0.35">
      <c r="A719" t="s">
        <v>2229</v>
      </c>
      <c r="B719" t="s">
        <v>2230</v>
      </c>
      <c r="C719" s="1">
        <v>45527</v>
      </c>
      <c r="D719" t="s">
        <v>66</v>
      </c>
      <c r="E719" t="s">
        <v>34</v>
      </c>
      <c r="F719" t="s">
        <v>77</v>
      </c>
      <c r="G719" t="s">
        <v>91</v>
      </c>
      <c r="H719">
        <v>4</v>
      </c>
      <c r="I719">
        <v>288000</v>
      </c>
      <c r="J719" t="s">
        <v>83</v>
      </c>
      <c r="K719" t="s">
        <v>21</v>
      </c>
      <c r="L719">
        <v>22</v>
      </c>
      <c r="M719" t="s">
        <v>22</v>
      </c>
      <c r="N719" t="s">
        <v>2231</v>
      </c>
    </row>
    <row r="720" spans="1:14" x14ac:dyDescent="0.35">
      <c r="A720" t="s">
        <v>2232</v>
      </c>
      <c r="B720" t="s">
        <v>2233</v>
      </c>
      <c r="C720" s="1">
        <v>45725</v>
      </c>
      <c r="D720" t="s">
        <v>45</v>
      </c>
      <c r="E720" t="s">
        <v>55</v>
      </c>
      <c r="F720" t="s">
        <v>77</v>
      </c>
      <c r="G720" t="s">
        <v>383</v>
      </c>
      <c r="H720">
        <v>2</v>
      </c>
      <c r="I720">
        <v>216000</v>
      </c>
      <c r="J720" t="s">
        <v>83</v>
      </c>
      <c r="K720" t="s">
        <v>21</v>
      </c>
      <c r="L720">
        <v>12</v>
      </c>
      <c r="M720" t="s">
        <v>22</v>
      </c>
      <c r="N720" t="s">
        <v>2234</v>
      </c>
    </row>
    <row r="721" spans="1:14" x14ac:dyDescent="0.35">
      <c r="A721" t="s">
        <v>2235</v>
      </c>
      <c r="B721" t="s">
        <v>2236</v>
      </c>
      <c r="C721" s="1">
        <v>45616</v>
      </c>
      <c r="D721" t="s">
        <v>16</v>
      </c>
      <c r="E721" t="s">
        <v>55</v>
      </c>
      <c r="F721" t="s">
        <v>163</v>
      </c>
      <c r="G721" t="s">
        <v>282</v>
      </c>
      <c r="H721">
        <v>2</v>
      </c>
      <c r="I721">
        <v>240000</v>
      </c>
      <c r="J721" t="s">
        <v>46</v>
      </c>
      <c r="K721" t="s">
        <v>21</v>
      </c>
      <c r="L721">
        <v>36</v>
      </c>
      <c r="M721" t="s">
        <v>30</v>
      </c>
      <c r="N721" t="s">
        <v>2237</v>
      </c>
    </row>
    <row r="722" spans="1:14" x14ac:dyDescent="0.35">
      <c r="A722" t="s">
        <v>2238</v>
      </c>
      <c r="B722" t="s">
        <v>2239</v>
      </c>
      <c r="C722" s="1">
        <v>45433</v>
      </c>
      <c r="D722" t="s">
        <v>45</v>
      </c>
      <c r="E722" t="s">
        <v>17</v>
      </c>
      <c r="F722" t="s">
        <v>18</v>
      </c>
      <c r="G722" t="s">
        <v>103</v>
      </c>
      <c r="H722">
        <v>4</v>
      </c>
      <c r="I722">
        <v>432000</v>
      </c>
      <c r="J722" t="s">
        <v>28</v>
      </c>
      <c r="K722" t="s">
        <v>21</v>
      </c>
      <c r="L722">
        <v>40</v>
      </c>
      <c r="M722" t="s">
        <v>22</v>
      </c>
      <c r="N722" t="s">
        <v>2126</v>
      </c>
    </row>
    <row r="723" spans="1:14" x14ac:dyDescent="0.35">
      <c r="A723" t="s">
        <v>2240</v>
      </c>
      <c r="B723" t="s">
        <v>2241</v>
      </c>
      <c r="C723" s="1">
        <v>45110</v>
      </c>
      <c r="D723" t="s">
        <v>66</v>
      </c>
      <c r="E723" t="s">
        <v>55</v>
      </c>
      <c r="F723" t="s">
        <v>50</v>
      </c>
      <c r="G723" t="s">
        <v>148</v>
      </c>
      <c r="H723">
        <v>3</v>
      </c>
      <c r="I723">
        <v>180000</v>
      </c>
      <c r="J723" t="s">
        <v>108</v>
      </c>
      <c r="K723" t="s">
        <v>29</v>
      </c>
      <c r="L723">
        <v>9</v>
      </c>
      <c r="M723" t="s">
        <v>30</v>
      </c>
      <c r="N723" t="s">
        <v>2242</v>
      </c>
    </row>
    <row r="724" spans="1:14" x14ac:dyDescent="0.35">
      <c r="A724" t="s">
        <v>2243</v>
      </c>
      <c r="B724" t="s">
        <v>2244</v>
      </c>
      <c r="C724" s="1">
        <v>45601</v>
      </c>
      <c r="D724" t="s">
        <v>72</v>
      </c>
      <c r="E724" t="s">
        <v>34</v>
      </c>
      <c r="F724" t="s">
        <v>50</v>
      </c>
      <c r="G724" t="s">
        <v>51</v>
      </c>
      <c r="H724">
        <v>5</v>
      </c>
      <c r="I724">
        <v>225000</v>
      </c>
      <c r="J724" t="s">
        <v>83</v>
      </c>
      <c r="K724" t="s">
        <v>29</v>
      </c>
      <c r="L724">
        <v>42</v>
      </c>
      <c r="M724" t="s">
        <v>30</v>
      </c>
      <c r="N724" t="s">
        <v>2245</v>
      </c>
    </row>
    <row r="725" spans="1:14" x14ac:dyDescent="0.35">
      <c r="A725" t="s">
        <v>2246</v>
      </c>
      <c r="B725" t="s">
        <v>2247</v>
      </c>
      <c r="C725" s="1">
        <v>45166</v>
      </c>
      <c r="D725" t="s">
        <v>16</v>
      </c>
      <c r="E725" t="s">
        <v>17</v>
      </c>
      <c r="F725" t="s">
        <v>67</v>
      </c>
      <c r="G725" t="s">
        <v>128</v>
      </c>
      <c r="H725">
        <v>5</v>
      </c>
      <c r="I725">
        <v>500000</v>
      </c>
      <c r="J725" t="s">
        <v>20</v>
      </c>
      <c r="K725" t="s">
        <v>29</v>
      </c>
      <c r="L725">
        <v>58</v>
      </c>
      <c r="M725" t="s">
        <v>22</v>
      </c>
      <c r="N725" t="s">
        <v>2248</v>
      </c>
    </row>
    <row r="726" spans="1:14" x14ac:dyDescent="0.35">
      <c r="A726" t="s">
        <v>2249</v>
      </c>
      <c r="B726" t="s">
        <v>2250</v>
      </c>
      <c r="C726" s="1">
        <v>45602</v>
      </c>
      <c r="D726" t="s">
        <v>66</v>
      </c>
      <c r="E726" t="s">
        <v>17</v>
      </c>
      <c r="F726" t="s">
        <v>77</v>
      </c>
      <c r="G726" t="s">
        <v>91</v>
      </c>
      <c r="H726">
        <v>1</v>
      </c>
      <c r="I726">
        <v>60000</v>
      </c>
      <c r="J726" t="s">
        <v>83</v>
      </c>
      <c r="K726" t="s">
        <v>29</v>
      </c>
      <c r="L726">
        <v>54</v>
      </c>
      <c r="M726" t="s">
        <v>22</v>
      </c>
      <c r="N726" t="s">
        <v>2251</v>
      </c>
    </row>
    <row r="727" spans="1:14" x14ac:dyDescent="0.35">
      <c r="A727" t="s">
        <v>2252</v>
      </c>
      <c r="B727" t="s">
        <v>2253</v>
      </c>
      <c r="C727" s="1">
        <v>45715</v>
      </c>
      <c r="D727" t="s">
        <v>66</v>
      </c>
      <c r="E727" t="s">
        <v>55</v>
      </c>
      <c r="F727" t="s">
        <v>67</v>
      </c>
      <c r="G727" t="s">
        <v>112</v>
      </c>
      <c r="H727">
        <v>3</v>
      </c>
      <c r="I727">
        <v>216000</v>
      </c>
      <c r="J727" t="s">
        <v>108</v>
      </c>
      <c r="K727" t="s">
        <v>21</v>
      </c>
      <c r="L727">
        <v>31</v>
      </c>
      <c r="M727" t="s">
        <v>30</v>
      </c>
      <c r="N727" t="s">
        <v>2254</v>
      </c>
    </row>
    <row r="728" spans="1:14" x14ac:dyDescent="0.35">
      <c r="A728" t="s">
        <v>2255</v>
      </c>
      <c r="B728" t="s">
        <v>2256</v>
      </c>
      <c r="C728" s="1">
        <v>45750</v>
      </c>
      <c r="D728" t="s">
        <v>66</v>
      </c>
      <c r="E728" t="s">
        <v>17</v>
      </c>
      <c r="F728" t="s">
        <v>39</v>
      </c>
      <c r="G728" t="s">
        <v>40</v>
      </c>
      <c r="H728">
        <v>4</v>
      </c>
      <c r="I728">
        <v>240000</v>
      </c>
      <c r="J728" t="s">
        <v>83</v>
      </c>
      <c r="K728" t="s">
        <v>29</v>
      </c>
      <c r="L728">
        <v>24</v>
      </c>
      <c r="M728" t="s">
        <v>30</v>
      </c>
      <c r="N728" t="s">
        <v>2257</v>
      </c>
    </row>
    <row r="729" spans="1:14" x14ac:dyDescent="0.35">
      <c r="A729" t="s">
        <v>2258</v>
      </c>
      <c r="B729" t="s">
        <v>2259</v>
      </c>
      <c r="C729" s="1">
        <v>45515</v>
      </c>
      <c r="D729" t="s">
        <v>66</v>
      </c>
      <c r="E729" t="s">
        <v>34</v>
      </c>
      <c r="F729" t="s">
        <v>26</v>
      </c>
      <c r="G729" t="s">
        <v>27</v>
      </c>
      <c r="H729">
        <v>2</v>
      </c>
      <c r="I729">
        <v>168000</v>
      </c>
      <c r="J729" t="s">
        <v>20</v>
      </c>
      <c r="K729" t="s">
        <v>41</v>
      </c>
      <c r="L729">
        <v>18</v>
      </c>
      <c r="M729" t="s">
        <v>22</v>
      </c>
      <c r="N729" t="s">
        <v>2260</v>
      </c>
    </row>
    <row r="730" spans="1:14" x14ac:dyDescent="0.35">
      <c r="A730" t="s">
        <v>2261</v>
      </c>
      <c r="B730" t="s">
        <v>2262</v>
      </c>
      <c r="C730" s="1">
        <v>45738</v>
      </c>
      <c r="D730" t="s">
        <v>45</v>
      </c>
      <c r="E730" t="s">
        <v>55</v>
      </c>
      <c r="F730" t="s">
        <v>56</v>
      </c>
      <c r="G730" t="s">
        <v>508</v>
      </c>
      <c r="H730">
        <v>4</v>
      </c>
      <c r="I730">
        <v>504000</v>
      </c>
      <c r="J730" t="s">
        <v>20</v>
      </c>
      <c r="K730" t="s">
        <v>41</v>
      </c>
      <c r="L730">
        <v>30</v>
      </c>
      <c r="M730" t="s">
        <v>30</v>
      </c>
      <c r="N730" t="s">
        <v>2263</v>
      </c>
    </row>
    <row r="731" spans="1:14" x14ac:dyDescent="0.35">
      <c r="A731" t="s">
        <v>2264</v>
      </c>
      <c r="B731" t="s">
        <v>2265</v>
      </c>
      <c r="C731" s="1">
        <v>45387</v>
      </c>
      <c r="D731" t="s">
        <v>66</v>
      </c>
      <c r="E731" t="s">
        <v>55</v>
      </c>
      <c r="F731" t="s">
        <v>67</v>
      </c>
      <c r="G731" t="s">
        <v>68</v>
      </c>
      <c r="H731">
        <v>3</v>
      </c>
      <c r="I731">
        <v>252000</v>
      </c>
      <c r="J731" t="s">
        <v>83</v>
      </c>
      <c r="K731" t="s">
        <v>41</v>
      </c>
      <c r="L731">
        <v>46</v>
      </c>
      <c r="M731" t="s">
        <v>22</v>
      </c>
      <c r="N731" t="s">
        <v>2266</v>
      </c>
    </row>
    <row r="732" spans="1:14" x14ac:dyDescent="0.35">
      <c r="A732" t="s">
        <v>2267</v>
      </c>
      <c r="B732" t="s">
        <v>2268</v>
      </c>
      <c r="C732" s="1">
        <v>45317</v>
      </c>
      <c r="D732" t="s">
        <v>72</v>
      </c>
      <c r="E732" t="s">
        <v>34</v>
      </c>
      <c r="F732" t="s">
        <v>26</v>
      </c>
      <c r="G732" t="s">
        <v>221</v>
      </c>
      <c r="H732">
        <v>5</v>
      </c>
      <c r="I732">
        <v>315000</v>
      </c>
      <c r="J732" t="s">
        <v>20</v>
      </c>
      <c r="K732" t="s">
        <v>41</v>
      </c>
      <c r="L732">
        <v>46</v>
      </c>
      <c r="M732" t="s">
        <v>30</v>
      </c>
      <c r="N732" t="s">
        <v>2269</v>
      </c>
    </row>
    <row r="733" spans="1:14" x14ac:dyDescent="0.35">
      <c r="A733" t="s">
        <v>2270</v>
      </c>
      <c r="B733" t="s">
        <v>2271</v>
      </c>
      <c r="C733" s="1">
        <v>45754</v>
      </c>
      <c r="D733" t="s">
        <v>72</v>
      </c>
      <c r="E733" t="s">
        <v>17</v>
      </c>
      <c r="F733" t="s">
        <v>50</v>
      </c>
      <c r="G733" t="s">
        <v>51</v>
      </c>
      <c r="H733">
        <v>2</v>
      </c>
      <c r="I733">
        <v>126000</v>
      </c>
      <c r="J733" t="s">
        <v>28</v>
      </c>
      <c r="K733" t="s">
        <v>41</v>
      </c>
      <c r="L733">
        <v>59</v>
      </c>
      <c r="M733" t="s">
        <v>22</v>
      </c>
      <c r="N733" t="s">
        <v>2272</v>
      </c>
    </row>
    <row r="734" spans="1:14" x14ac:dyDescent="0.35">
      <c r="A734" t="s">
        <v>2273</v>
      </c>
      <c r="B734" t="s">
        <v>2274</v>
      </c>
      <c r="C734" s="1">
        <v>45726</v>
      </c>
      <c r="D734" t="s">
        <v>72</v>
      </c>
      <c r="E734" t="s">
        <v>55</v>
      </c>
      <c r="F734" t="s">
        <v>39</v>
      </c>
      <c r="G734" t="s">
        <v>393</v>
      </c>
      <c r="H734">
        <v>4</v>
      </c>
      <c r="I734">
        <v>216000</v>
      </c>
      <c r="J734" t="s">
        <v>83</v>
      </c>
      <c r="K734" t="s">
        <v>21</v>
      </c>
      <c r="L734">
        <v>6</v>
      </c>
      <c r="M734" t="s">
        <v>22</v>
      </c>
      <c r="N734" t="s">
        <v>2275</v>
      </c>
    </row>
    <row r="735" spans="1:14" x14ac:dyDescent="0.35">
      <c r="A735" t="s">
        <v>2276</v>
      </c>
      <c r="B735" t="s">
        <v>2277</v>
      </c>
      <c r="C735" s="1">
        <v>45717</v>
      </c>
      <c r="D735" t="s">
        <v>66</v>
      </c>
      <c r="E735" t="s">
        <v>55</v>
      </c>
      <c r="F735" t="s">
        <v>39</v>
      </c>
      <c r="G735" t="s">
        <v>82</v>
      </c>
      <c r="H735">
        <v>1</v>
      </c>
      <c r="I735">
        <v>84000</v>
      </c>
      <c r="J735" t="s">
        <v>20</v>
      </c>
      <c r="K735" t="s">
        <v>41</v>
      </c>
      <c r="L735">
        <v>60</v>
      </c>
      <c r="M735" t="s">
        <v>30</v>
      </c>
      <c r="N735" t="s">
        <v>2278</v>
      </c>
    </row>
    <row r="736" spans="1:14" x14ac:dyDescent="0.35">
      <c r="A736" t="s">
        <v>2279</v>
      </c>
      <c r="B736" t="s">
        <v>2280</v>
      </c>
      <c r="C736" s="1">
        <v>45398</v>
      </c>
      <c r="D736" t="s">
        <v>45</v>
      </c>
      <c r="E736" t="s">
        <v>17</v>
      </c>
      <c r="F736" t="s">
        <v>18</v>
      </c>
      <c r="G736" t="s">
        <v>452</v>
      </c>
      <c r="H736">
        <v>4</v>
      </c>
      <c r="I736">
        <v>504000</v>
      </c>
      <c r="J736" t="s">
        <v>20</v>
      </c>
      <c r="K736" t="s">
        <v>41</v>
      </c>
      <c r="L736">
        <v>33</v>
      </c>
      <c r="M736" t="s">
        <v>22</v>
      </c>
      <c r="N736" t="s">
        <v>2281</v>
      </c>
    </row>
    <row r="737" spans="1:14" x14ac:dyDescent="0.35">
      <c r="A737" t="s">
        <v>2282</v>
      </c>
      <c r="B737" t="s">
        <v>2283</v>
      </c>
      <c r="C737" s="1">
        <v>45469</v>
      </c>
      <c r="D737" t="s">
        <v>66</v>
      </c>
      <c r="E737" t="s">
        <v>34</v>
      </c>
      <c r="F737" t="s">
        <v>163</v>
      </c>
      <c r="G737" t="s">
        <v>214</v>
      </c>
      <c r="H737">
        <v>3</v>
      </c>
      <c r="I737">
        <v>180000</v>
      </c>
      <c r="J737" t="s">
        <v>28</v>
      </c>
      <c r="K737" t="s">
        <v>29</v>
      </c>
      <c r="L737">
        <v>20</v>
      </c>
      <c r="M737" t="s">
        <v>22</v>
      </c>
      <c r="N737" t="s">
        <v>2284</v>
      </c>
    </row>
    <row r="738" spans="1:14" x14ac:dyDescent="0.35">
      <c r="A738" t="s">
        <v>2285</v>
      </c>
      <c r="B738" t="s">
        <v>2286</v>
      </c>
      <c r="C738" s="1">
        <v>45767</v>
      </c>
      <c r="D738" t="s">
        <v>66</v>
      </c>
      <c r="E738" t="s">
        <v>55</v>
      </c>
      <c r="F738" t="s">
        <v>50</v>
      </c>
      <c r="G738" t="s">
        <v>73</v>
      </c>
      <c r="H738">
        <v>4</v>
      </c>
      <c r="I738">
        <v>240000</v>
      </c>
      <c r="J738" t="s">
        <v>83</v>
      </c>
      <c r="K738" t="s">
        <v>29</v>
      </c>
      <c r="L738">
        <v>23</v>
      </c>
      <c r="M738" t="s">
        <v>30</v>
      </c>
      <c r="N738" t="s">
        <v>2287</v>
      </c>
    </row>
    <row r="739" spans="1:14" x14ac:dyDescent="0.35">
      <c r="A739" t="s">
        <v>2288</v>
      </c>
      <c r="B739" t="s">
        <v>2289</v>
      </c>
      <c r="C739" s="1">
        <v>45630</v>
      </c>
      <c r="D739" t="s">
        <v>16</v>
      </c>
      <c r="E739" t="s">
        <v>34</v>
      </c>
      <c r="F739" t="s">
        <v>252</v>
      </c>
      <c r="G739" t="s">
        <v>286</v>
      </c>
      <c r="H739">
        <v>4</v>
      </c>
      <c r="I739">
        <v>560000</v>
      </c>
      <c r="J739" t="s">
        <v>83</v>
      </c>
      <c r="K739" t="s">
        <v>41</v>
      </c>
      <c r="L739">
        <v>53</v>
      </c>
      <c r="M739" t="s">
        <v>22</v>
      </c>
      <c r="N739" t="s">
        <v>2290</v>
      </c>
    </row>
    <row r="740" spans="1:14" x14ac:dyDescent="0.35">
      <c r="A740" t="s">
        <v>2291</v>
      </c>
      <c r="B740" t="s">
        <v>2292</v>
      </c>
      <c r="C740" s="1">
        <v>45375</v>
      </c>
      <c r="D740" t="s">
        <v>72</v>
      </c>
      <c r="E740" t="s">
        <v>34</v>
      </c>
      <c r="F740" t="s">
        <v>39</v>
      </c>
      <c r="G740" t="s">
        <v>393</v>
      </c>
      <c r="H740">
        <v>5</v>
      </c>
      <c r="I740">
        <v>225000</v>
      </c>
      <c r="J740" t="s">
        <v>108</v>
      </c>
      <c r="K740" t="s">
        <v>29</v>
      </c>
      <c r="L740">
        <v>59</v>
      </c>
      <c r="M740" t="s">
        <v>22</v>
      </c>
      <c r="N740" t="s">
        <v>2293</v>
      </c>
    </row>
    <row r="741" spans="1:14" x14ac:dyDescent="0.35">
      <c r="A741" t="s">
        <v>2294</v>
      </c>
      <c r="B741" t="s">
        <v>2295</v>
      </c>
      <c r="C741" s="1">
        <v>45353</v>
      </c>
      <c r="D741" t="s">
        <v>72</v>
      </c>
      <c r="E741" t="s">
        <v>34</v>
      </c>
      <c r="F741" t="s">
        <v>50</v>
      </c>
      <c r="G741" t="s">
        <v>132</v>
      </c>
      <c r="H741">
        <v>5</v>
      </c>
      <c r="I741">
        <v>315000</v>
      </c>
      <c r="J741" t="s">
        <v>28</v>
      </c>
      <c r="K741" t="s">
        <v>41</v>
      </c>
      <c r="L741">
        <v>11</v>
      </c>
      <c r="M741" t="s">
        <v>22</v>
      </c>
      <c r="N741" t="s">
        <v>2296</v>
      </c>
    </row>
    <row r="742" spans="1:14" x14ac:dyDescent="0.35">
      <c r="A742" t="s">
        <v>2297</v>
      </c>
      <c r="B742" t="s">
        <v>2298</v>
      </c>
      <c r="C742" s="1">
        <v>45167</v>
      </c>
      <c r="D742" t="s">
        <v>45</v>
      </c>
      <c r="E742" t="s">
        <v>17</v>
      </c>
      <c r="F742" t="s">
        <v>61</v>
      </c>
      <c r="G742" t="s">
        <v>156</v>
      </c>
      <c r="H742">
        <v>2</v>
      </c>
      <c r="I742">
        <v>180000</v>
      </c>
      <c r="J742" t="s">
        <v>83</v>
      </c>
      <c r="K742" t="s">
        <v>29</v>
      </c>
      <c r="L742">
        <v>7</v>
      </c>
      <c r="M742" t="s">
        <v>22</v>
      </c>
      <c r="N742" t="s">
        <v>2299</v>
      </c>
    </row>
    <row r="743" spans="1:14" x14ac:dyDescent="0.35">
      <c r="A743" t="s">
        <v>2300</v>
      </c>
      <c r="B743" t="s">
        <v>2301</v>
      </c>
      <c r="C743" s="1">
        <v>45499</v>
      </c>
      <c r="D743" t="s">
        <v>72</v>
      </c>
      <c r="E743" t="s">
        <v>55</v>
      </c>
      <c r="F743" t="s">
        <v>163</v>
      </c>
      <c r="G743" t="s">
        <v>214</v>
      </c>
      <c r="H743">
        <v>3</v>
      </c>
      <c r="I743">
        <v>135000</v>
      </c>
      <c r="J743" t="s">
        <v>83</v>
      </c>
      <c r="K743" t="s">
        <v>29</v>
      </c>
      <c r="L743">
        <v>6</v>
      </c>
      <c r="M743" t="s">
        <v>30</v>
      </c>
      <c r="N743" t="s">
        <v>2302</v>
      </c>
    </row>
    <row r="744" spans="1:14" x14ac:dyDescent="0.35">
      <c r="A744" t="s">
        <v>2303</v>
      </c>
      <c r="B744" t="s">
        <v>2304</v>
      </c>
      <c r="C744" s="1">
        <v>45216</v>
      </c>
      <c r="D744" t="s">
        <v>45</v>
      </c>
      <c r="E744" t="s">
        <v>34</v>
      </c>
      <c r="F744" t="s">
        <v>50</v>
      </c>
      <c r="G744" t="s">
        <v>73</v>
      </c>
      <c r="H744">
        <v>3</v>
      </c>
      <c r="I744">
        <v>270000</v>
      </c>
      <c r="J744" t="s">
        <v>20</v>
      </c>
      <c r="K744" t="s">
        <v>29</v>
      </c>
      <c r="L744">
        <v>36</v>
      </c>
      <c r="M744" t="s">
        <v>22</v>
      </c>
      <c r="N744" t="s">
        <v>2305</v>
      </c>
    </row>
    <row r="745" spans="1:14" x14ac:dyDescent="0.35">
      <c r="A745" t="s">
        <v>2306</v>
      </c>
      <c r="B745" t="s">
        <v>2307</v>
      </c>
      <c r="C745" s="1">
        <v>45071</v>
      </c>
      <c r="D745" t="s">
        <v>45</v>
      </c>
      <c r="E745" t="s">
        <v>55</v>
      </c>
      <c r="F745" t="s">
        <v>18</v>
      </c>
      <c r="G745" t="s">
        <v>452</v>
      </c>
      <c r="H745">
        <v>4</v>
      </c>
      <c r="I745">
        <v>432000</v>
      </c>
      <c r="J745" t="s">
        <v>20</v>
      </c>
      <c r="K745" t="s">
        <v>21</v>
      </c>
      <c r="L745">
        <v>21</v>
      </c>
      <c r="M745" t="s">
        <v>30</v>
      </c>
      <c r="N745" t="s">
        <v>2308</v>
      </c>
    </row>
    <row r="746" spans="1:14" x14ac:dyDescent="0.35">
      <c r="A746" t="s">
        <v>2309</v>
      </c>
      <c r="B746" t="s">
        <v>2310</v>
      </c>
      <c r="C746" s="1">
        <v>45383</v>
      </c>
      <c r="D746" t="s">
        <v>72</v>
      </c>
      <c r="E746" t="s">
        <v>34</v>
      </c>
      <c r="F746" t="s">
        <v>26</v>
      </c>
      <c r="G746" t="s">
        <v>221</v>
      </c>
      <c r="H746">
        <v>3</v>
      </c>
      <c r="I746">
        <v>162000</v>
      </c>
      <c r="J746" t="s">
        <v>83</v>
      </c>
      <c r="K746" t="s">
        <v>21</v>
      </c>
      <c r="L746">
        <v>19</v>
      </c>
      <c r="M746" t="s">
        <v>22</v>
      </c>
      <c r="N746" t="s">
        <v>2311</v>
      </c>
    </row>
    <row r="747" spans="1:14" x14ac:dyDescent="0.35">
      <c r="A747" t="s">
        <v>2312</v>
      </c>
      <c r="B747" t="s">
        <v>2313</v>
      </c>
      <c r="C747" s="1">
        <v>45216</v>
      </c>
      <c r="D747" t="s">
        <v>72</v>
      </c>
      <c r="E747" t="s">
        <v>55</v>
      </c>
      <c r="F747" t="s">
        <v>50</v>
      </c>
      <c r="G747" t="s">
        <v>73</v>
      </c>
      <c r="H747">
        <v>3</v>
      </c>
      <c r="I747">
        <v>135000</v>
      </c>
      <c r="J747" t="s">
        <v>28</v>
      </c>
      <c r="K747" t="s">
        <v>29</v>
      </c>
      <c r="L747">
        <v>13</v>
      </c>
      <c r="M747" t="s">
        <v>30</v>
      </c>
      <c r="N747" t="s">
        <v>2314</v>
      </c>
    </row>
    <row r="748" spans="1:14" x14ac:dyDescent="0.35">
      <c r="A748" t="s">
        <v>2315</v>
      </c>
      <c r="B748" t="s">
        <v>2316</v>
      </c>
      <c r="C748" s="1">
        <v>45340</v>
      </c>
      <c r="D748" t="s">
        <v>72</v>
      </c>
      <c r="E748" t="s">
        <v>34</v>
      </c>
      <c r="F748" t="s">
        <v>18</v>
      </c>
      <c r="G748" t="s">
        <v>452</v>
      </c>
      <c r="H748">
        <v>1</v>
      </c>
      <c r="I748">
        <v>54000</v>
      </c>
      <c r="J748" t="s">
        <v>20</v>
      </c>
      <c r="K748" t="s">
        <v>21</v>
      </c>
      <c r="L748">
        <v>53</v>
      </c>
      <c r="M748" t="s">
        <v>30</v>
      </c>
      <c r="N748" t="s">
        <v>2317</v>
      </c>
    </row>
    <row r="749" spans="1:14" x14ac:dyDescent="0.35">
      <c r="A749" t="s">
        <v>2318</v>
      </c>
      <c r="B749" t="s">
        <v>2319</v>
      </c>
      <c r="C749" s="1">
        <v>45157</v>
      </c>
      <c r="D749" t="s">
        <v>72</v>
      </c>
      <c r="E749" t="s">
        <v>55</v>
      </c>
      <c r="F749" t="s">
        <v>77</v>
      </c>
      <c r="G749" t="s">
        <v>78</v>
      </c>
      <c r="H749">
        <v>3</v>
      </c>
      <c r="I749">
        <v>162000</v>
      </c>
      <c r="J749" t="s">
        <v>108</v>
      </c>
      <c r="K749" t="s">
        <v>21</v>
      </c>
      <c r="L749">
        <v>24</v>
      </c>
      <c r="M749" t="s">
        <v>30</v>
      </c>
      <c r="N749" t="s">
        <v>2320</v>
      </c>
    </row>
    <row r="750" spans="1:14" x14ac:dyDescent="0.35">
      <c r="A750" t="s">
        <v>2321</v>
      </c>
      <c r="B750" t="s">
        <v>2322</v>
      </c>
      <c r="C750" s="1">
        <v>45355</v>
      </c>
      <c r="D750" t="s">
        <v>72</v>
      </c>
      <c r="E750" t="s">
        <v>17</v>
      </c>
      <c r="F750" t="s">
        <v>50</v>
      </c>
      <c r="G750" t="s">
        <v>73</v>
      </c>
      <c r="H750">
        <v>1</v>
      </c>
      <c r="I750">
        <v>54000</v>
      </c>
      <c r="J750" t="s">
        <v>83</v>
      </c>
      <c r="K750" t="s">
        <v>21</v>
      </c>
      <c r="L750">
        <v>57</v>
      </c>
      <c r="M750" t="s">
        <v>30</v>
      </c>
      <c r="N750" t="s">
        <v>2323</v>
      </c>
    </row>
    <row r="751" spans="1:14" x14ac:dyDescent="0.35">
      <c r="A751" t="s">
        <v>2324</v>
      </c>
      <c r="B751" t="s">
        <v>2325</v>
      </c>
      <c r="C751" s="1">
        <v>45267</v>
      </c>
      <c r="D751" t="s">
        <v>72</v>
      </c>
      <c r="E751" t="s">
        <v>55</v>
      </c>
      <c r="F751" t="s">
        <v>252</v>
      </c>
      <c r="G751" t="s">
        <v>307</v>
      </c>
      <c r="H751">
        <v>1</v>
      </c>
      <c r="I751">
        <v>45000</v>
      </c>
      <c r="J751" t="s">
        <v>28</v>
      </c>
      <c r="K751" t="s">
        <v>29</v>
      </c>
      <c r="L751">
        <v>13</v>
      </c>
      <c r="M751" t="s">
        <v>30</v>
      </c>
      <c r="N751" t="s">
        <v>2326</v>
      </c>
    </row>
    <row r="752" spans="1:14" x14ac:dyDescent="0.35">
      <c r="A752" t="s">
        <v>2327</v>
      </c>
      <c r="B752" t="s">
        <v>2328</v>
      </c>
      <c r="C752" s="1">
        <v>45393</v>
      </c>
      <c r="D752" t="s">
        <v>45</v>
      </c>
      <c r="E752" t="s">
        <v>17</v>
      </c>
      <c r="F752" t="s">
        <v>67</v>
      </c>
      <c r="G752" t="s">
        <v>128</v>
      </c>
      <c r="H752">
        <v>2</v>
      </c>
      <c r="I752">
        <v>180000</v>
      </c>
      <c r="J752" t="s">
        <v>108</v>
      </c>
      <c r="K752" t="s">
        <v>29</v>
      </c>
      <c r="L752">
        <v>60</v>
      </c>
      <c r="M752" t="s">
        <v>30</v>
      </c>
      <c r="N752" t="s">
        <v>2329</v>
      </c>
    </row>
    <row r="753" spans="1:14" x14ac:dyDescent="0.35">
      <c r="A753" t="s">
        <v>2330</v>
      </c>
      <c r="B753" t="s">
        <v>2331</v>
      </c>
      <c r="C753" s="1">
        <v>45750</v>
      </c>
      <c r="D753" t="s">
        <v>72</v>
      </c>
      <c r="E753" t="s">
        <v>55</v>
      </c>
      <c r="F753" t="s">
        <v>163</v>
      </c>
      <c r="G753" t="s">
        <v>201</v>
      </c>
      <c r="H753">
        <v>1</v>
      </c>
      <c r="I753">
        <v>63000</v>
      </c>
      <c r="J753" t="s">
        <v>28</v>
      </c>
      <c r="K753" t="s">
        <v>41</v>
      </c>
      <c r="L753">
        <v>12</v>
      </c>
      <c r="M753" t="s">
        <v>30</v>
      </c>
      <c r="N753" t="s">
        <v>2332</v>
      </c>
    </row>
    <row r="754" spans="1:14" x14ac:dyDescent="0.35">
      <c r="A754" t="s">
        <v>2333</v>
      </c>
      <c r="B754" t="s">
        <v>2334</v>
      </c>
      <c r="C754" s="1">
        <v>45194</v>
      </c>
      <c r="D754" t="s">
        <v>45</v>
      </c>
      <c r="E754" t="s">
        <v>34</v>
      </c>
      <c r="F754" t="s">
        <v>67</v>
      </c>
      <c r="G754" t="s">
        <v>68</v>
      </c>
      <c r="H754">
        <v>4</v>
      </c>
      <c r="I754">
        <v>432000</v>
      </c>
      <c r="J754" t="s">
        <v>20</v>
      </c>
      <c r="K754" t="s">
        <v>21</v>
      </c>
      <c r="L754">
        <v>55</v>
      </c>
      <c r="M754" t="s">
        <v>30</v>
      </c>
      <c r="N754" t="s">
        <v>2335</v>
      </c>
    </row>
    <row r="755" spans="1:14" x14ac:dyDescent="0.35">
      <c r="A755" t="s">
        <v>2336</v>
      </c>
      <c r="B755" t="s">
        <v>2337</v>
      </c>
      <c r="C755" s="1">
        <v>45369</v>
      </c>
      <c r="D755" t="s">
        <v>72</v>
      </c>
      <c r="E755" t="s">
        <v>17</v>
      </c>
      <c r="F755" t="s">
        <v>50</v>
      </c>
      <c r="G755" t="s">
        <v>73</v>
      </c>
      <c r="H755">
        <v>2</v>
      </c>
      <c r="I755">
        <v>90000</v>
      </c>
      <c r="J755" t="s">
        <v>46</v>
      </c>
      <c r="K755" t="s">
        <v>29</v>
      </c>
      <c r="L755">
        <v>59</v>
      </c>
      <c r="M755" t="s">
        <v>30</v>
      </c>
      <c r="N755" t="s">
        <v>2338</v>
      </c>
    </row>
    <row r="756" spans="1:14" x14ac:dyDescent="0.35">
      <c r="A756" t="s">
        <v>2339</v>
      </c>
      <c r="B756" t="s">
        <v>2340</v>
      </c>
      <c r="C756" s="1">
        <v>45233</v>
      </c>
      <c r="D756" t="s">
        <v>72</v>
      </c>
      <c r="E756" t="s">
        <v>55</v>
      </c>
      <c r="F756" t="s">
        <v>252</v>
      </c>
      <c r="G756" t="s">
        <v>307</v>
      </c>
      <c r="H756">
        <v>2</v>
      </c>
      <c r="I756">
        <v>126000</v>
      </c>
      <c r="J756" t="s">
        <v>20</v>
      </c>
      <c r="K756" t="s">
        <v>41</v>
      </c>
      <c r="L756">
        <v>44</v>
      </c>
      <c r="M756" t="s">
        <v>30</v>
      </c>
      <c r="N756" t="s">
        <v>2341</v>
      </c>
    </row>
    <row r="757" spans="1:14" x14ac:dyDescent="0.35">
      <c r="A757" t="s">
        <v>2342</v>
      </c>
      <c r="B757" t="s">
        <v>2343</v>
      </c>
      <c r="C757" s="1">
        <v>45465</v>
      </c>
      <c r="D757" t="s">
        <v>45</v>
      </c>
      <c r="E757" t="s">
        <v>55</v>
      </c>
      <c r="F757" t="s">
        <v>67</v>
      </c>
      <c r="G757" t="s">
        <v>448</v>
      </c>
      <c r="H757">
        <v>4</v>
      </c>
      <c r="I757">
        <v>360000</v>
      </c>
      <c r="J757" t="s">
        <v>28</v>
      </c>
      <c r="K757" t="s">
        <v>29</v>
      </c>
      <c r="L757">
        <v>54</v>
      </c>
      <c r="M757" t="s">
        <v>22</v>
      </c>
      <c r="N757" t="s">
        <v>2344</v>
      </c>
    </row>
    <row r="758" spans="1:14" x14ac:dyDescent="0.35">
      <c r="A758" t="s">
        <v>2345</v>
      </c>
      <c r="B758" t="s">
        <v>2346</v>
      </c>
      <c r="C758" s="1">
        <v>45555</v>
      </c>
      <c r="D758" t="s">
        <v>66</v>
      </c>
      <c r="E758" t="s">
        <v>17</v>
      </c>
      <c r="F758" t="s">
        <v>67</v>
      </c>
      <c r="G758" t="s">
        <v>112</v>
      </c>
      <c r="H758">
        <v>4</v>
      </c>
      <c r="I758">
        <v>288000</v>
      </c>
      <c r="J758" t="s">
        <v>108</v>
      </c>
      <c r="K758" t="s">
        <v>21</v>
      </c>
      <c r="L758">
        <v>54</v>
      </c>
      <c r="M758" t="s">
        <v>22</v>
      </c>
      <c r="N758" t="s">
        <v>2347</v>
      </c>
    </row>
    <row r="759" spans="1:14" x14ac:dyDescent="0.35">
      <c r="A759" t="s">
        <v>2348</v>
      </c>
      <c r="B759" t="s">
        <v>2349</v>
      </c>
      <c r="C759" s="1">
        <v>45495</v>
      </c>
      <c r="D759" t="s">
        <v>16</v>
      </c>
      <c r="E759" t="s">
        <v>34</v>
      </c>
      <c r="F759" t="s">
        <v>56</v>
      </c>
      <c r="G759" t="s">
        <v>116</v>
      </c>
      <c r="H759">
        <v>1</v>
      </c>
      <c r="I759">
        <v>140000</v>
      </c>
      <c r="J759" t="s">
        <v>83</v>
      </c>
      <c r="K759" t="s">
        <v>41</v>
      </c>
      <c r="L759">
        <v>40</v>
      </c>
      <c r="M759" t="s">
        <v>22</v>
      </c>
      <c r="N759" t="s">
        <v>2350</v>
      </c>
    </row>
    <row r="760" spans="1:14" x14ac:dyDescent="0.35">
      <c r="A760" t="s">
        <v>2351</v>
      </c>
      <c r="B760" t="s">
        <v>2352</v>
      </c>
      <c r="C760" s="1">
        <v>45183</v>
      </c>
      <c r="D760" t="s">
        <v>16</v>
      </c>
      <c r="E760" t="s">
        <v>17</v>
      </c>
      <c r="F760" t="s">
        <v>67</v>
      </c>
      <c r="G760" t="s">
        <v>112</v>
      </c>
      <c r="H760">
        <v>5</v>
      </c>
      <c r="I760">
        <v>500000</v>
      </c>
      <c r="J760" t="s">
        <v>20</v>
      </c>
      <c r="K760" t="s">
        <v>29</v>
      </c>
      <c r="L760">
        <v>53</v>
      </c>
      <c r="M760" t="s">
        <v>30</v>
      </c>
      <c r="N760" t="s">
        <v>2353</v>
      </c>
    </row>
    <row r="761" spans="1:14" x14ac:dyDescent="0.35">
      <c r="A761" t="s">
        <v>2354</v>
      </c>
      <c r="B761" t="s">
        <v>2355</v>
      </c>
      <c r="C761" s="1">
        <v>45649</v>
      </c>
      <c r="D761" t="s">
        <v>72</v>
      </c>
      <c r="E761" t="s">
        <v>34</v>
      </c>
      <c r="F761" t="s">
        <v>252</v>
      </c>
      <c r="G761" t="s">
        <v>253</v>
      </c>
      <c r="H761">
        <v>1</v>
      </c>
      <c r="I761">
        <v>63000</v>
      </c>
      <c r="J761" t="s">
        <v>83</v>
      </c>
      <c r="K761" t="s">
        <v>41</v>
      </c>
      <c r="L761">
        <v>13</v>
      </c>
      <c r="M761" t="s">
        <v>30</v>
      </c>
      <c r="N761" t="s">
        <v>2356</v>
      </c>
    </row>
    <row r="762" spans="1:14" x14ac:dyDescent="0.35">
      <c r="A762" t="s">
        <v>2357</v>
      </c>
      <c r="B762" t="s">
        <v>2358</v>
      </c>
      <c r="C762" s="1">
        <v>45170</v>
      </c>
      <c r="D762" t="s">
        <v>16</v>
      </c>
      <c r="E762" t="s">
        <v>34</v>
      </c>
      <c r="F762" t="s">
        <v>56</v>
      </c>
      <c r="G762" t="s">
        <v>508</v>
      </c>
      <c r="H762">
        <v>4</v>
      </c>
      <c r="I762">
        <v>480000</v>
      </c>
      <c r="J762" t="s">
        <v>28</v>
      </c>
      <c r="K762" t="s">
        <v>21</v>
      </c>
      <c r="L762">
        <v>39</v>
      </c>
      <c r="M762" t="s">
        <v>22</v>
      </c>
      <c r="N762" t="s">
        <v>2359</v>
      </c>
    </row>
    <row r="763" spans="1:14" x14ac:dyDescent="0.35">
      <c r="A763" t="s">
        <v>2360</v>
      </c>
      <c r="B763" t="s">
        <v>2361</v>
      </c>
      <c r="C763" s="1">
        <v>45301</v>
      </c>
      <c r="D763" t="s">
        <v>16</v>
      </c>
      <c r="E763" t="s">
        <v>34</v>
      </c>
      <c r="F763" t="s">
        <v>18</v>
      </c>
      <c r="G763" t="s">
        <v>297</v>
      </c>
      <c r="H763">
        <v>5</v>
      </c>
      <c r="I763">
        <v>700000</v>
      </c>
      <c r="J763" t="s">
        <v>28</v>
      </c>
      <c r="K763" t="s">
        <v>41</v>
      </c>
      <c r="L763">
        <v>29</v>
      </c>
      <c r="M763" t="s">
        <v>22</v>
      </c>
      <c r="N763" t="s">
        <v>2362</v>
      </c>
    </row>
    <row r="764" spans="1:14" x14ac:dyDescent="0.35">
      <c r="A764" t="s">
        <v>2363</v>
      </c>
      <c r="B764" t="s">
        <v>2364</v>
      </c>
      <c r="C764" s="1">
        <v>45161</v>
      </c>
      <c r="D764" t="s">
        <v>66</v>
      </c>
      <c r="E764" t="s">
        <v>17</v>
      </c>
      <c r="F764" t="s">
        <v>67</v>
      </c>
      <c r="G764" t="s">
        <v>120</v>
      </c>
      <c r="H764">
        <v>5</v>
      </c>
      <c r="I764">
        <v>420000</v>
      </c>
      <c r="J764" t="s">
        <v>83</v>
      </c>
      <c r="K764" t="s">
        <v>41</v>
      </c>
      <c r="L764">
        <v>17</v>
      </c>
      <c r="M764" t="s">
        <v>22</v>
      </c>
      <c r="N764" t="s">
        <v>2365</v>
      </c>
    </row>
    <row r="765" spans="1:14" x14ac:dyDescent="0.35">
      <c r="A765" t="s">
        <v>2366</v>
      </c>
      <c r="B765" t="s">
        <v>2367</v>
      </c>
      <c r="C765" s="1">
        <v>45151</v>
      </c>
      <c r="D765" t="s">
        <v>45</v>
      </c>
      <c r="E765" t="s">
        <v>55</v>
      </c>
      <c r="F765" t="s">
        <v>61</v>
      </c>
      <c r="G765" t="s">
        <v>99</v>
      </c>
      <c r="H765">
        <v>2</v>
      </c>
      <c r="I765">
        <v>216000</v>
      </c>
      <c r="J765" t="s">
        <v>28</v>
      </c>
      <c r="K765" t="s">
        <v>21</v>
      </c>
      <c r="L765">
        <v>19</v>
      </c>
      <c r="M765" t="s">
        <v>30</v>
      </c>
      <c r="N765" t="s">
        <v>2368</v>
      </c>
    </row>
    <row r="766" spans="1:14" x14ac:dyDescent="0.35">
      <c r="A766" t="s">
        <v>2369</v>
      </c>
      <c r="B766" t="s">
        <v>2370</v>
      </c>
      <c r="C766" s="1">
        <v>45288</v>
      </c>
      <c r="D766" t="s">
        <v>72</v>
      </c>
      <c r="E766" t="s">
        <v>34</v>
      </c>
      <c r="F766" t="s">
        <v>67</v>
      </c>
      <c r="G766" t="s">
        <v>120</v>
      </c>
      <c r="H766">
        <v>4</v>
      </c>
      <c r="I766">
        <v>216000</v>
      </c>
      <c r="J766" t="s">
        <v>28</v>
      </c>
      <c r="K766" t="s">
        <v>21</v>
      </c>
      <c r="L766">
        <v>9</v>
      </c>
      <c r="M766" t="s">
        <v>22</v>
      </c>
      <c r="N766" t="s">
        <v>2371</v>
      </c>
    </row>
    <row r="767" spans="1:14" x14ac:dyDescent="0.35">
      <c r="A767" t="s">
        <v>2372</v>
      </c>
      <c r="B767" t="s">
        <v>2373</v>
      </c>
      <c r="C767" s="1">
        <v>45195</v>
      </c>
      <c r="D767" t="s">
        <v>45</v>
      </c>
      <c r="E767" t="s">
        <v>17</v>
      </c>
      <c r="F767" t="s">
        <v>39</v>
      </c>
      <c r="G767" t="s">
        <v>188</v>
      </c>
      <c r="H767">
        <v>3</v>
      </c>
      <c r="I767">
        <v>270000</v>
      </c>
      <c r="J767" t="s">
        <v>108</v>
      </c>
      <c r="K767" t="s">
        <v>29</v>
      </c>
      <c r="L767">
        <v>54</v>
      </c>
      <c r="M767" t="s">
        <v>30</v>
      </c>
      <c r="N767" t="s">
        <v>2374</v>
      </c>
    </row>
    <row r="768" spans="1:14" x14ac:dyDescent="0.35">
      <c r="A768" t="s">
        <v>2375</v>
      </c>
      <c r="B768" t="s">
        <v>2376</v>
      </c>
      <c r="C768" s="1">
        <v>45751</v>
      </c>
      <c r="D768" t="s">
        <v>45</v>
      </c>
      <c r="E768" t="s">
        <v>17</v>
      </c>
      <c r="F768" t="s">
        <v>50</v>
      </c>
      <c r="G768" t="s">
        <v>73</v>
      </c>
      <c r="H768">
        <v>1</v>
      </c>
      <c r="I768">
        <v>108000</v>
      </c>
      <c r="J768" t="s">
        <v>46</v>
      </c>
      <c r="K768" t="s">
        <v>21</v>
      </c>
      <c r="L768">
        <v>58</v>
      </c>
      <c r="M768" t="s">
        <v>22</v>
      </c>
      <c r="N768" t="s">
        <v>2377</v>
      </c>
    </row>
    <row r="769" spans="1:14" x14ac:dyDescent="0.35">
      <c r="A769" t="s">
        <v>2378</v>
      </c>
      <c r="B769" t="s">
        <v>2379</v>
      </c>
      <c r="C769" s="1">
        <v>45538</v>
      </c>
      <c r="D769" t="s">
        <v>72</v>
      </c>
      <c r="E769" t="s">
        <v>55</v>
      </c>
      <c r="F769" t="s">
        <v>67</v>
      </c>
      <c r="G769" t="s">
        <v>68</v>
      </c>
      <c r="H769">
        <v>1</v>
      </c>
      <c r="I769">
        <v>45000</v>
      </c>
      <c r="J769" t="s">
        <v>46</v>
      </c>
      <c r="K769" t="s">
        <v>29</v>
      </c>
      <c r="L769">
        <v>8</v>
      </c>
      <c r="M769" t="s">
        <v>22</v>
      </c>
      <c r="N769" t="s">
        <v>2380</v>
      </c>
    </row>
    <row r="770" spans="1:14" x14ac:dyDescent="0.35">
      <c r="A770" t="s">
        <v>2381</v>
      </c>
      <c r="B770" t="s">
        <v>2382</v>
      </c>
      <c r="C770" s="1">
        <v>45658</v>
      </c>
      <c r="D770" t="s">
        <v>16</v>
      </c>
      <c r="E770" t="s">
        <v>55</v>
      </c>
      <c r="F770" t="s">
        <v>26</v>
      </c>
      <c r="G770" t="s">
        <v>221</v>
      </c>
      <c r="H770">
        <v>3</v>
      </c>
      <c r="I770">
        <v>420000</v>
      </c>
      <c r="J770" t="s">
        <v>20</v>
      </c>
      <c r="K770" t="s">
        <v>41</v>
      </c>
      <c r="L770">
        <v>52</v>
      </c>
      <c r="M770" t="s">
        <v>22</v>
      </c>
      <c r="N770" t="s">
        <v>2383</v>
      </c>
    </row>
    <row r="771" spans="1:14" x14ac:dyDescent="0.35">
      <c r="A771" t="s">
        <v>2384</v>
      </c>
      <c r="B771" t="s">
        <v>2385</v>
      </c>
      <c r="C771" s="1">
        <v>45189</v>
      </c>
      <c r="D771" t="s">
        <v>16</v>
      </c>
      <c r="E771" t="s">
        <v>55</v>
      </c>
      <c r="F771" t="s">
        <v>252</v>
      </c>
      <c r="G771" t="s">
        <v>257</v>
      </c>
      <c r="H771">
        <v>4</v>
      </c>
      <c r="I771">
        <v>400000</v>
      </c>
      <c r="J771" t="s">
        <v>46</v>
      </c>
      <c r="K771" t="s">
        <v>29</v>
      </c>
      <c r="L771">
        <v>30</v>
      </c>
      <c r="M771" t="s">
        <v>22</v>
      </c>
      <c r="N771" t="s">
        <v>2386</v>
      </c>
    </row>
    <row r="772" spans="1:14" x14ac:dyDescent="0.35">
      <c r="A772" t="s">
        <v>2387</v>
      </c>
      <c r="B772" t="s">
        <v>2388</v>
      </c>
      <c r="C772" s="1">
        <v>45680</v>
      </c>
      <c r="D772" t="s">
        <v>16</v>
      </c>
      <c r="E772" t="s">
        <v>55</v>
      </c>
      <c r="F772" t="s">
        <v>163</v>
      </c>
      <c r="G772" t="s">
        <v>214</v>
      </c>
      <c r="H772">
        <v>4</v>
      </c>
      <c r="I772">
        <v>400000</v>
      </c>
      <c r="J772" t="s">
        <v>20</v>
      </c>
      <c r="K772" t="s">
        <v>29</v>
      </c>
      <c r="L772">
        <v>42</v>
      </c>
      <c r="M772" t="s">
        <v>22</v>
      </c>
      <c r="N772" t="s">
        <v>2389</v>
      </c>
    </row>
    <row r="773" spans="1:14" x14ac:dyDescent="0.35">
      <c r="A773" t="s">
        <v>2390</v>
      </c>
      <c r="B773" t="s">
        <v>2391</v>
      </c>
      <c r="C773" s="1">
        <v>45468</v>
      </c>
      <c r="D773" t="s">
        <v>66</v>
      </c>
      <c r="E773" t="s">
        <v>17</v>
      </c>
      <c r="F773" t="s">
        <v>56</v>
      </c>
      <c r="G773" t="s">
        <v>152</v>
      </c>
      <c r="H773">
        <v>2</v>
      </c>
      <c r="I773">
        <v>168000</v>
      </c>
      <c r="J773" t="s">
        <v>83</v>
      </c>
      <c r="K773" t="s">
        <v>41</v>
      </c>
      <c r="L773">
        <v>38</v>
      </c>
      <c r="M773" t="s">
        <v>22</v>
      </c>
      <c r="N773" t="s">
        <v>2392</v>
      </c>
    </row>
    <row r="774" spans="1:14" x14ac:dyDescent="0.35">
      <c r="A774" t="s">
        <v>2393</v>
      </c>
      <c r="B774" t="s">
        <v>2394</v>
      </c>
      <c r="C774" s="1">
        <v>45182</v>
      </c>
      <c r="D774" t="s">
        <v>66</v>
      </c>
      <c r="E774" t="s">
        <v>34</v>
      </c>
      <c r="F774" t="s">
        <v>61</v>
      </c>
      <c r="G774" t="s">
        <v>290</v>
      </c>
      <c r="H774">
        <v>1</v>
      </c>
      <c r="I774">
        <v>84000</v>
      </c>
      <c r="J774" t="s">
        <v>83</v>
      </c>
      <c r="K774" t="s">
        <v>41</v>
      </c>
      <c r="L774">
        <v>19</v>
      </c>
      <c r="M774" t="s">
        <v>22</v>
      </c>
      <c r="N774" t="s">
        <v>2395</v>
      </c>
    </row>
    <row r="775" spans="1:14" x14ac:dyDescent="0.35">
      <c r="A775" t="s">
        <v>2396</v>
      </c>
      <c r="B775" t="s">
        <v>2397</v>
      </c>
      <c r="C775" s="1">
        <v>45439</v>
      </c>
      <c r="D775" t="s">
        <v>16</v>
      </c>
      <c r="E775" t="s">
        <v>34</v>
      </c>
      <c r="F775" t="s">
        <v>67</v>
      </c>
      <c r="G775" t="s">
        <v>448</v>
      </c>
      <c r="H775">
        <v>1</v>
      </c>
      <c r="I775">
        <v>100000</v>
      </c>
      <c r="J775" t="s">
        <v>20</v>
      </c>
      <c r="K775" t="s">
        <v>29</v>
      </c>
      <c r="L775">
        <v>59</v>
      </c>
      <c r="M775" t="s">
        <v>22</v>
      </c>
      <c r="N775" t="s">
        <v>2398</v>
      </c>
    </row>
    <row r="776" spans="1:14" x14ac:dyDescent="0.35">
      <c r="A776" t="s">
        <v>2399</v>
      </c>
      <c r="B776" t="s">
        <v>2400</v>
      </c>
      <c r="C776" s="1">
        <v>45766</v>
      </c>
      <c r="D776" t="s">
        <v>16</v>
      </c>
      <c r="E776" t="s">
        <v>55</v>
      </c>
      <c r="F776" t="s">
        <v>39</v>
      </c>
      <c r="G776" t="s">
        <v>82</v>
      </c>
      <c r="H776">
        <v>2</v>
      </c>
      <c r="I776">
        <v>200000</v>
      </c>
      <c r="J776" t="s">
        <v>28</v>
      </c>
      <c r="K776" t="s">
        <v>29</v>
      </c>
      <c r="L776">
        <v>5</v>
      </c>
      <c r="M776" t="s">
        <v>30</v>
      </c>
      <c r="N776" t="s">
        <v>2401</v>
      </c>
    </row>
    <row r="777" spans="1:14" x14ac:dyDescent="0.35">
      <c r="A777" t="s">
        <v>2402</v>
      </c>
      <c r="B777" t="s">
        <v>2403</v>
      </c>
      <c r="C777" s="1">
        <v>45493</v>
      </c>
      <c r="D777" t="s">
        <v>16</v>
      </c>
      <c r="E777" t="s">
        <v>34</v>
      </c>
      <c r="F777" t="s">
        <v>39</v>
      </c>
      <c r="G777" t="s">
        <v>188</v>
      </c>
      <c r="H777">
        <v>3</v>
      </c>
      <c r="I777">
        <v>300000</v>
      </c>
      <c r="J777" t="s">
        <v>108</v>
      </c>
      <c r="K777" t="s">
        <v>29</v>
      </c>
      <c r="L777">
        <v>47</v>
      </c>
      <c r="M777" t="s">
        <v>22</v>
      </c>
      <c r="N777" t="s">
        <v>2404</v>
      </c>
    </row>
    <row r="778" spans="1:14" x14ac:dyDescent="0.35">
      <c r="A778" t="s">
        <v>2405</v>
      </c>
      <c r="B778" t="s">
        <v>2406</v>
      </c>
      <c r="C778" s="1">
        <v>45745</v>
      </c>
      <c r="D778" t="s">
        <v>45</v>
      </c>
      <c r="E778" t="s">
        <v>55</v>
      </c>
      <c r="F778" t="s">
        <v>163</v>
      </c>
      <c r="G778" t="s">
        <v>164</v>
      </c>
      <c r="H778">
        <v>5</v>
      </c>
      <c r="I778">
        <v>450000</v>
      </c>
      <c r="J778" t="s">
        <v>46</v>
      </c>
      <c r="K778" t="s">
        <v>29</v>
      </c>
      <c r="L778">
        <v>18</v>
      </c>
      <c r="M778" t="s">
        <v>30</v>
      </c>
      <c r="N778" t="s">
        <v>2407</v>
      </c>
    </row>
    <row r="779" spans="1:14" x14ac:dyDescent="0.35">
      <c r="A779" t="s">
        <v>2408</v>
      </c>
      <c r="B779" t="s">
        <v>2409</v>
      </c>
      <c r="C779" s="1">
        <v>45344</v>
      </c>
      <c r="D779" t="s">
        <v>45</v>
      </c>
      <c r="E779" t="s">
        <v>17</v>
      </c>
      <c r="F779" t="s">
        <v>39</v>
      </c>
      <c r="G779" t="s">
        <v>393</v>
      </c>
      <c r="H779">
        <v>4</v>
      </c>
      <c r="I779">
        <v>504000</v>
      </c>
      <c r="J779" t="s">
        <v>20</v>
      </c>
      <c r="K779" t="s">
        <v>41</v>
      </c>
      <c r="L779">
        <v>34</v>
      </c>
      <c r="M779" t="s">
        <v>30</v>
      </c>
      <c r="N779" t="s">
        <v>2410</v>
      </c>
    </row>
    <row r="780" spans="1:14" x14ac:dyDescent="0.35">
      <c r="A780" t="s">
        <v>2411</v>
      </c>
      <c r="B780" t="s">
        <v>2412</v>
      </c>
      <c r="C780" s="1">
        <v>45142</v>
      </c>
      <c r="D780" t="s">
        <v>45</v>
      </c>
      <c r="E780" t="s">
        <v>17</v>
      </c>
      <c r="F780" t="s">
        <v>39</v>
      </c>
      <c r="G780" t="s">
        <v>188</v>
      </c>
      <c r="H780">
        <v>1</v>
      </c>
      <c r="I780">
        <v>90000</v>
      </c>
      <c r="J780" t="s">
        <v>20</v>
      </c>
      <c r="K780" t="s">
        <v>29</v>
      </c>
      <c r="L780">
        <v>28</v>
      </c>
      <c r="M780" t="s">
        <v>22</v>
      </c>
      <c r="N780" t="s">
        <v>2413</v>
      </c>
    </row>
    <row r="781" spans="1:14" x14ac:dyDescent="0.35">
      <c r="A781" t="s">
        <v>2414</v>
      </c>
      <c r="B781" t="s">
        <v>2415</v>
      </c>
      <c r="C781" s="1">
        <v>45412</v>
      </c>
      <c r="D781" t="s">
        <v>66</v>
      </c>
      <c r="E781" t="s">
        <v>17</v>
      </c>
      <c r="F781" t="s">
        <v>77</v>
      </c>
      <c r="G781" t="s">
        <v>91</v>
      </c>
      <c r="H781">
        <v>4</v>
      </c>
      <c r="I781">
        <v>336000</v>
      </c>
      <c r="J781" t="s">
        <v>83</v>
      </c>
      <c r="K781" t="s">
        <v>41</v>
      </c>
      <c r="L781">
        <v>41</v>
      </c>
      <c r="M781" t="s">
        <v>22</v>
      </c>
      <c r="N781" t="s">
        <v>2416</v>
      </c>
    </row>
    <row r="782" spans="1:14" x14ac:dyDescent="0.35">
      <c r="A782" t="s">
        <v>2417</v>
      </c>
      <c r="B782" t="s">
        <v>2418</v>
      </c>
      <c r="C782" s="1">
        <v>45491</v>
      </c>
      <c r="D782" t="s">
        <v>72</v>
      </c>
      <c r="E782" t="s">
        <v>55</v>
      </c>
      <c r="F782" t="s">
        <v>67</v>
      </c>
      <c r="G782" t="s">
        <v>448</v>
      </c>
      <c r="H782">
        <v>2</v>
      </c>
      <c r="I782">
        <v>90000</v>
      </c>
      <c r="J782" t="s">
        <v>28</v>
      </c>
      <c r="K782" t="s">
        <v>29</v>
      </c>
      <c r="L782">
        <v>12</v>
      </c>
      <c r="M782" t="s">
        <v>22</v>
      </c>
      <c r="N782" t="s">
        <v>690</v>
      </c>
    </row>
    <row r="783" spans="1:14" x14ac:dyDescent="0.35">
      <c r="A783" t="s">
        <v>2419</v>
      </c>
      <c r="B783" t="s">
        <v>2420</v>
      </c>
      <c r="C783" s="1">
        <v>45259</v>
      </c>
      <c r="D783" t="s">
        <v>16</v>
      </c>
      <c r="E783" t="s">
        <v>34</v>
      </c>
      <c r="F783" t="s">
        <v>56</v>
      </c>
      <c r="G783" t="s">
        <v>116</v>
      </c>
      <c r="H783">
        <v>5</v>
      </c>
      <c r="I783">
        <v>600000</v>
      </c>
      <c r="J783" t="s">
        <v>46</v>
      </c>
      <c r="K783" t="s">
        <v>21</v>
      </c>
      <c r="L783">
        <v>25</v>
      </c>
      <c r="M783" t="s">
        <v>22</v>
      </c>
      <c r="N783" t="s">
        <v>2421</v>
      </c>
    </row>
    <row r="784" spans="1:14" x14ac:dyDescent="0.35">
      <c r="A784" t="s">
        <v>2422</v>
      </c>
      <c r="B784" t="s">
        <v>2423</v>
      </c>
      <c r="C784" s="1">
        <v>45615</v>
      </c>
      <c r="D784" t="s">
        <v>66</v>
      </c>
      <c r="E784" t="s">
        <v>34</v>
      </c>
      <c r="F784" t="s">
        <v>61</v>
      </c>
      <c r="G784" t="s">
        <v>156</v>
      </c>
      <c r="H784">
        <v>1</v>
      </c>
      <c r="I784">
        <v>60000</v>
      </c>
      <c r="J784" t="s">
        <v>20</v>
      </c>
      <c r="K784" t="s">
        <v>29</v>
      </c>
      <c r="L784">
        <v>15</v>
      </c>
      <c r="M784" t="s">
        <v>22</v>
      </c>
      <c r="N784" t="s">
        <v>2424</v>
      </c>
    </row>
    <row r="785" spans="1:14" x14ac:dyDescent="0.35">
      <c r="A785" t="s">
        <v>2425</v>
      </c>
      <c r="B785" t="s">
        <v>2426</v>
      </c>
      <c r="C785" s="1">
        <v>45738</v>
      </c>
      <c r="D785" t="s">
        <v>66</v>
      </c>
      <c r="E785" t="s">
        <v>17</v>
      </c>
      <c r="F785" t="s">
        <v>67</v>
      </c>
      <c r="G785" t="s">
        <v>448</v>
      </c>
      <c r="H785">
        <v>1</v>
      </c>
      <c r="I785">
        <v>72000</v>
      </c>
      <c r="J785" t="s">
        <v>28</v>
      </c>
      <c r="K785" t="s">
        <v>21</v>
      </c>
      <c r="L785">
        <v>20</v>
      </c>
      <c r="M785" t="s">
        <v>22</v>
      </c>
      <c r="N785" t="s">
        <v>2427</v>
      </c>
    </row>
    <row r="786" spans="1:14" x14ac:dyDescent="0.35">
      <c r="A786" t="s">
        <v>2428</v>
      </c>
      <c r="B786" t="s">
        <v>2429</v>
      </c>
      <c r="C786" s="1">
        <v>45294</v>
      </c>
      <c r="D786" t="s">
        <v>16</v>
      </c>
      <c r="E786" t="s">
        <v>55</v>
      </c>
      <c r="F786" t="s">
        <v>77</v>
      </c>
      <c r="G786" t="s">
        <v>91</v>
      </c>
      <c r="H786">
        <v>3</v>
      </c>
      <c r="I786">
        <v>360000</v>
      </c>
      <c r="J786" t="s">
        <v>20</v>
      </c>
      <c r="K786" t="s">
        <v>21</v>
      </c>
      <c r="L786">
        <v>5</v>
      </c>
      <c r="M786" t="s">
        <v>30</v>
      </c>
      <c r="N786" t="s">
        <v>2430</v>
      </c>
    </row>
    <row r="787" spans="1:14" x14ac:dyDescent="0.35">
      <c r="A787" t="s">
        <v>2431</v>
      </c>
      <c r="B787" t="s">
        <v>2432</v>
      </c>
      <c r="C787" s="1">
        <v>45290</v>
      </c>
      <c r="D787" t="s">
        <v>16</v>
      </c>
      <c r="E787" t="s">
        <v>34</v>
      </c>
      <c r="F787" t="s">
        <v>252</v>
      </c>
      <c r="G787" t="s">
        <v>504</v>
      </c>
      <c r="H787">
        <v>5</v>
      </c>
      <c r="I787">
        <v>600000</v>
      </c>
      <c r="J787" t="s">
        <v>108</v>
      </c>
      <c r="K787" t="s">
        <v>21</v>
      </c>
      <c r="L787">
        <v>7</v>
      </c>
      <c r="M787" t="s">
        <v>30</v>
      </c>
      <c r="N787" t="s">
        <v>2433</v>
      </c>
    </row>
    <row r="788" spans="1:14" x14ac:dyDescent="0.35">
      <c r="A788" t="s">
        <v>2434</v>
      </c>
      <c r="B788" t="s">
        <v>2435</v>
      </c>
      <c r="C788" s="1">
        <v>45457</v>
      </c>
      <c r="D788" t="s">
        <v>16</v>
      </c>
      <c r="E788" t="s">
        <v>34</v>
      </c>
      <c r="F788" t="s">
        <v>26</v>
      </c>
      <c r="G788" t="s">
        <v>35</v>
      </c>
      <c r="H788">
        <v>2</v>
      </c>
      <c r="I788">
        <v>200000</v>
      </c>
      <c r="J788" t="s">
        <v>83</v>
      </c>
      <c r="K788" t="s">
        <v>29</v>
      </c>
      <c r="L788">
        <v>21</v>
      </c>
      <c r="M788" t="s">
        <v>22</v>
      </c>
      <c r="N788" t="s">
        <v>2436</v>
      </c>
    </row>
    <row r="789" spans="1:14" x14ac:dyDescent="0.35">
      <c r="A789" t="s">
        <v>2437</v>
      </c>
      <c r="B789" t="s">
        <v>2438</v>
      </c>
      <c r="C789" s="1">
        <v>45758</v>
      </c>
      <c r="D789" t="s">
        <v>16</v>
      </c>
      <c r="E789" t="s">
        <v>34</v>
      </c>
      <c r="F789" t="s">
        <v>50</v>
      </c>
      <c r="G789" t="s">
        <v>148</v>
      </c>
      <c r="H789">
        <v>1</v>
      </c>
      <c r="I789">
        <v>120000</v>
      </c>
      <c r="J789" t="s">
        <v>28</v>
      </c>
      <c r="K789" t="s">
        <v>21</v>
      </c>
      <c r="L789">
        <v>46</v>
      </c>
      <c r="M789" t="s">
        <v>30</v>
      </c>
      <c r="N789" t="s">
        <v>2439</v>
      </c>
    </row>
    <row r="790" spans="1:14" x14ac:dyDescent="0.35">
      <c r="A790" t="s">
        <v>2440</v>
      </c>
      <c r="B790" t="s">
        <v>2441</v>
      </c>
      <c r="C790" s="1">
        <v>45335</v>
      </c>
      <c r="D790" t="s">
        <v>45</v>
      </c>
      <c r="E790" t="s">
        <v>34</v>
      </c>
      <c r="F790" t="s">
        <v>77</v>
      </c>
      <c r="G790" t="s">
        <v>168</v>
      </c>
      <c r="H790">
        <v>3</v>
      </c>
      <c r="I790">
        <v>378000</v>
      </c>
      <c r="J790" t="s">
        <v>83</v>
      </c>
      <c r="K790" t="s">
        <v>41</v>
      </c>
      <c r="L790">
        <v>25</v>
      </c>
      <c r="M790" t="s">
        <v>22</v>
      </c>
      <c r="N790" t="s">
        <v>2442</v>
      </c>
    </row>
    <row r="791" spans="1:14" x14ac:dyDescent="0.35">
      <c r="A791" t="s">
        <v>2443</v>
      </c>
      <c r="B791" t="s">
        <v>2444</v>
      </c>
      <c r="C791" s="1">
        <v>45485</v>
      </c>
      <c r="D791" t="s">
        <v>16</v>
      </c>
      <c r="E791" t="s">
        <v>55</v>
      </c>
      <c r="F791" t="s">
        <v>77</v>
      </c>
      <c r="G791" t="s">
        <v>136</v>
      </c>
      <c r="H791">
        <v>5</v>
      </c>
      <c r="I791">
        <v>600000</v>
      </c>
      <c r="J791" t="s">
        <v>83</v>
      </c>
      <c r="K791" t="s">
        <v>21</v>
      </c>
      <c r="L791">
        <v>24</v>
      </c>
      <c r="M791" t="s">
        <v>22</v>
      </c>
      <c r="N791" t="s">
        <v>2445</v>
      </c>
    </row>
    <row r="792" spans="1:14" x14ac:dyDescent="0.35">
      <c r="A792" t="s">
        <v>2446</v>
      </c>
      <c r="B792" t="s">
        <v>2447</v>
      </c>
      <c r="C792" s="1">
        <v>45072</v>
      </c>
      <c r="D792" t="s">
        <v>66</v>
      </c>
      <c r="E792" t="s">
        <v>34</v>
      </c>
      <c r="F792" t="s">
        <v>77</v>
      </c>
      <c r="G792" t="s">
        <v>383</v>
      </c>
      <c r="H792">
        <v>2</v>
      </c>
      <c r="I792">
        <v>120000</v>
      </c>
      <c r="J792" t="s">
        <v>20</v>
      </c>
      <c r="K792" t="s">
        <v>29</v>
      </c>
      <c r="L792">
        <v>55</v>
      </c>
      <c r="M792" t="s">
        <v>22</v>
      </c>
      <c r="N792" t="s">
        <v>2448</v>
      </c>
    </row>
    <row r="793" spans="1:14" x14ac:dyDescent="0.35">
      <c r="A793" t="s">
        <v>2449</v>
      </c>
      <c r="B793" t="s">
        <v>2450</v>
      </c>
      <c r="C793" s="1">
        <v>45467</v>
      </c>
      <c r="D793" t="s">
        <v>72</v>
      </c>
      <c r="E793" t="s">
        <v>17</v>
      </c>
      <c r="F793" t="s">
        <v>18</v>
      </c>
      <c r="G793" t="s">
        <v>19</v>
      </c>
      <c r="H793">
        <v>5</v>
      </c>
      <c r="I793">
        <v>315000</v>
      </c>
      <c r="J793" t="s">
        <v>46</v>
      </c>
      <c r="K793" t="s">
        <v>41</v>
      </c>
      <c r="L793">
        <v>14</v>
      </c>
      <c r="M793" t="s">
        <v>22</v>
      </c>
      <c r="N793" t="s">
        <v>2451</v>
      </c>
    </row>
    <row r="794" spans="1:14" x14ac:dyDescent="0.35">
      <c r="A794" t="s">
        <v>2452</v>
      </c>
      <c r="B794" t="s">
        <v>2453</v>
      </c>
      <c r="C794" s="1">
        <v>45561</v>
      </c>
      <c r="D794" t="s">
        <v>66</v>
      </c>
      <c r="E794" t="s">
        <v>34</v>
      </c>
      <c r="F794" t="s">
        <v>56</v>
      </c>
      <c r="G794" t="s">
        <v>144</v>
      </c>
      <c r="H794">
        <v>2</v>
      </c>
      <c r="I794">
        <v>144000</v>
      </c>
      <c r="J794" t="s">
        <v>46</v>
      </c>
      <c r="K794" t="s">
        <v>21</v>
      </c>
      <c r="L794">
        <v>5</v>
      </c>
      <c r="M794" t="s">
        <v>22</v>
      </c>
      <c r="N794" t="s">
        <v>384</v>
      </c>
    </row>
    <row r="795" spans="1:14" x14ac:dyDescent="0.35">
      <c r="A795" t="s">
        <v>2454</v>
      </c>
      <c r="B795" t="s">
        <v>2455</v>
      </c>
      <c r="C795" s="1">
        <v>45279</v>
      </c>
      <c r="D795" t="s">
        <v>66</v>
      </c>
      <c r="E795" t="s">
        <v>34</v>
      </c>
      <c r="F795" t="s">
        <v>26</v>
      </c>
      <c r="G795" t="s">
        <v>35</v>
      </c>
      <c r="H795">
        <v>2</v>
      </c>
      <c r="I795">
        <v>120000</v>
      </c>
      <c r="J795" t="s">
        <v>20</v>
      </c>
      <c r="K795" t="s">
        <v>29</v>
      </c>
      <c r="L795">
        <v>55</v>
      </c>
      <c r="M795" t="s">
        <v>30</v>
      </c>
      <c r="N795" t="s">
        <v>2456</v>
      </c>
    </row>
    <row r="796" spans="1:14" x14ac:dyDescent="0.35">
      <c r="A796" t="s">
        <v>2457</v>
      </c>
      <c r="B796" t="s">
        <v>2458</v>
      </c>
      <c r="C796" s="1">
        <v>45135</v>
      </c>
      <c r="D796" t="s">
        <v>66</v>
      </c>
      <c r="E796" t="s">
        <v>17</v>
      </c>
      <c r="F796" t="s">
        <v>39</v>
      </c>
      <c r="G796" t="s">
        <v>393</v>
      </c>
      <c r="H796">
        <v>1</v>
      </c>
      <c r="I796">
        <v>84000</v>
      </c>
      <c r="J796" t="s">
        <v>83</v>
      </c>
      <c r="K796" t="s">
        <v>41</v>
      </c>
      <c r="L796">
        <v>15</v>
      </c>
      <c r="M796" t="s">
        <v>22</v>
      </c>
      <c r="N796" t="s">
        <v>2459</v>
      </c>
    </row>
    <row r="797" spans="1:14" x14ac:dyDescent="0.35">
      <c r="A797" t="s">
        <v>2460</v>
      </c>
      <c r="B797" t="s">
        <v>2461</v>
      </c>
      <c r="C797" s="1">
        <v>45135</v>
      </c>
      <c r="D797" t="s">
        <v>16</v>
      </c>
      <c r="E797" t="s">
        <v>34</v>
      </c>
      <c r="F797" t="s">
        <v>26</v>
      </c>
      <c r="G797" t="s">
        <v>87</v>
      </c>
      <c r="H797">
        <v>4</v>
      </c>
      <c r="I797">
        <v>400000</v>
      </c>
      <c r="J797" t="s">
        <v>20</v>
      </c>
      <c r="K797" t="s">
        <v>29</v>
      </c>
      <c r="L797">
        <v>12</v>
      </c>
      <c r="M797" t="s">
        <v>22</v>
      </c>
      <c r="N797" t="s">
        <v>2462</v>
      </c>
    </row>
    <row r="798" spans="1:14" x14ac:dyDescent="0.35">
      <c r="A798" t="s">
        <v>2463</v>
      </c>
      <c r="B798" t="s">
        <v>2464</v>
      </c>
      <c r="C798" s="1">
        <v>45612</v>
      </c>
      <c r="D798" t="s">
        <v>72</v>
      </c>
      <c r="E798" t="s">
        <v>34</v>
      </c>
      <c r="F798" t="s">
        <v>56</v>
      </c>
      <c r="G798" t="s">
        <v>116</v>
      </c>
      <c r="H798">
        <v>3</v>
      </c>
      <c r="I798">
        <v>162000</v>
      </c>
      <c r="J798" t="s">
        <v>83</v>
      </c>
      <c r="K798" t="s">
        <v>21</v>
      </c>
      <c r="L798">
        <v>34</v>
      </c>
      <c r="M798" t="s">
        <v>22</v>
      </c>
      <c r="N798" t="s">
        <v>2465</v>
      </c>
    </row>
    <row r="799" spans="1:14" x14ac:dyDescent="0.35">
      <c r="A799" t="s">
        <v>2466</v>
      </c>
      <c r="B799" t="s">
        <v>2467</v>
      </c>
      <c r="C799" s="1">
        <v>45118</v>
      </c>
      <c r="D799" t="s">
        <v>45</v>
      </c>
      <c r="E799" t="s">
        <v>55</v>
      </c>
      <c r="F799" t="s">
        <v>56</v>
      </c>
      <c r="G799" t="s">
        <v>116</v>
      </c>
      <c r="H799">
        <v>3</v>
      </c>
      <c r="I799">
        <v>378000</v>
      </c>
      <c r="J799" t="s">
        <v>46</v>
      </c>
      <c r="K799" t="s">
        <v>41</v>
      </c>
      <c r="L799">
        <v>16</v>
      </c>
      <c r="M799" t="s">
        <v>22</v>
      </c>
      <c r="N799" t="s">
        <v>2468</v>
      </c>
    </row>
    <row r="800" spans="1:14" x14ac:dyDescent="0.35">
      <c r="A800" t="s">
        <v>2469</v>
      </c>
      <c r="B800" t="s">
        <v>2470</v>
      </c>
      <c r="C800" s="1">
        <v>45665</v>
      </c>
      <c r="D800" t="s">
        <v>16</v>
      </c>
      <c r="E800" t="s">
        <v>55</v>
      </c>
      <c r="F800" t="s">
        <v>252</v>
      </c>
      <c r="G800" t="s">
        <v>257</v>
      </c>
      <c r="H800">
        <v>3</v>
      </c>
      <c r="I800">
        <v>420000</v>
      </c>
      <c r="J800" t="s">
        <v>20</v>
      </c>
      <c r="K800" t="s">
        <v>41</v>
      </c>
      <c r="L800">
        <v>34</v>
      </c>
      <c r="M800" t="s">
        <v>30</v>
      </c>
      <c r="N800" t="s">
        <v>2471</v>
      </c>
    </row>
    <row r="801" spans="1:14" x14ac:dyDescent="0.35">
      <c r="A801" t="s">
        <v>2472</v>
      </c>
      <c r="B801" t="s">
        <v>2473</v>
      </c>
      <c r="C801" s="1">
        <v>45326</v>
      </c>
      <c r="D801" t="s">
        <v>72</v>
      </c>
      <c r="E801" t="s">
        <v>55</v>
      </c>
      <c r="F801" t="s">
        <v>56</v>
      </c>
      <c r="G801" t="s">
        <v>57</v>
      </c>
      <c r="H801">
        <v>4</v>
      </c>
      <c r="I801">
        <v>216000</v>
      </c>
      <c r="J801" t="s">
        <v>20</v>
      </c>
      <c r="K801" t="s">
        <v>21</v>
      </c>
      <c r="L801">
        <v>56</v>
      </c>
      <c r="M801" t="s">
        <v>30</v>
      </c>
      <c r="N801" t="s">
        <v>2474</v>
      </c>
    </row>
    <row r="802" spans="1:14" x14ac:dyDescent="0.35">
      <c r="A802" t="s">
        <v>2475</v>
      </c>
      <c r="B802" t="s">
        <v>2476</v>
      </c>
      <c r="C802" s="1">
        <v>45360</v>
      </c>
      <c r="D802" t="s">
        <v>45</v>
      </c>
      <c r="E802" t="s">
        <v>34</v>
      </c>
      <c r="F802" t="s">
        <v>50</v>
      </c>
      <c r="G802" t="s">
        <v>148</v>
      </c>
      <c r="H802">
        <v>4</v>
      </c>
      <c r="I802">
        <v>432000</v>
      </c>
      <c r="J802" t="s">
        <v>20</v>
      </c>
      <c r="K802" t="s">
        <v>21</v>
      </c>
      <c r="L802">
        <v>50</v>
      </c>
      <c r="M802" t="s">
        <v>22</v>
      </c>
      <c r="N802" t="s">
        <v>2477</v>
      </c>
    </row>
    <row r="803" spans="1:14" x14ac:dyDescent="0.35">
      <c r="A803" t="s">
        <v>2478</v>
      </c>
      <c r="B803" t="s">
        <v>2479</v>
      </c>
      <c r="C803" s="1">
        <v>45107</v>
      </c>
      <c r="D803" t="s">
        <v>45</v>
      </c>
      <c r="E803" t="s">
        <v>17</v>
      </c>
      <c r="F803" t="s">
        <v>26</v>
      </c>
      <c r="G803" t="s">
        <v>221</v>
      </c>
      <c r="H803">
        <v>1</v>
      </c>
      <c r="I803">
        <v>126000</v>
      </c>
      <c r="J803" t="s">
        <v>108</v>
      </c>
      <c r="K803" t="s">
        <v>41</v>
      </c>
      <c r="L803">
        <v>9</v>
      </c>
      <c r="M803" t="s">
        <v>22</v>
      </c>
      <c r="N803" t="s">
        <v>2480</v>
      </c>
    </row>
    <row r="804" spans="1:14" x14ac:dyDescent="0.35">
      <c r="A804" t="s">
        <v>2481</v>
      </c>
      <c r="B804" t="s">
        <v>2482</v>
      </c>
      <c r="C804" s="1">
        <v>45539</v>
      </c>
      <c r="D804" t="s">
        <v>45</v>
      </c>
      <c r="E804" t="s">
        <v>55</v>
      </c>
      <c r="F804" t="s">
        <v>18</v>
      </c>
      <c r="G804" t="s">
        <v>103</v>
      </c>
      <c r="H804">
        <v>3</v>
      </c>
      <c r="I804">
        <v>324000</v>
      </c>
      <c r="J804" t="s">
        <v>20</v>
      </c>
      <c r="K804" t="s">
        <v>21</v>
      </c>
      <c r="L804">
        <v>58</v>
      </c>
      <c r="M804" t="s">
        <v>30</v>
      </c>
      <c r="N804" t="s">
        <v>2483</v>
      </c>
    </row>
    <row r="805" spans="1:14" x14ac:dyDescent="0.35">
      <c r="A805" t="s">
        <v>2484</v>
      </c>
      <c r="B805" t="s">
        <v>2485</v>
      </c>
      <c r="C805" s="1">
        <v>45125</v>
      </c>
      <c r="D805" t="s">
        <v>45</v>
      </c>
      <c r="E805" t="s">
        <v>34</v>
      </c>
      <c r="F805" t="s">
        <v>163</v>
      </c>
      <c r="G805" t="s">
        <v>201</v>
      </c>
      <c r="H805">
        <v>3</v>
      </c>
      <c r="I805">
        <v>378000</v>
      </c>
      <c r="J805" t="s">
        <v>20</v>
      </c>
      <c r="K805" t="s">
        <v>41</v>
      </c>
      <c r="L805">
        <v>52</v>
      </c>
      <c r="M805" t="s">
        <v>22</v>
      </c>
      <c r="N805" t="s">
        <v>2486</v>
      </c>
    </row>
    <row r="806" spans="1:14" x14ac:dyDescent="0.35">
      <c r="A806" t="s">
        <v>2487</v>
      </c>
      <c r="B806" t="s">
        <v>2488</v>
      </c>
      <c r="C806" s="1">
        <v>45205</v>
      </c>
      <c r="D806" t="s">
        <v>72</v>
      </c>
      <c r="E806" t="s">
        <v>17</v>
      </c>
      <c r="F806" t="s">
        <v>18</v>
      </c>
      <c r="G806" t="s">
        <v>452</v>
      </c>
      <c r="H806">
        <v>1</v>
      </c>
      <c r="I806">
        <v>63000</v>
      </c>
      <c r="J806" t="s">
        <v>46</v>
      </c>
      <c r="K806" t="s">
        <v>41</v>
      </c>
      <c r="L806">
        <v>8</v>
      </c>
      <c r="M806" t="s">
        <v>22</v>
      </c>
      <c r="N806" t="s">
        <v>2489</v>
      </c>
    </row>
    <row r="807" spans="1:14" x14ac:dyDescent="0.35">
      <c r="A807" t="s">
        <v>2490</v>
      </c>
      <c r="B807" t="s">
        <v>2491</v>
      </c>
      <c r="C807" s="1">
        <v>45723</v>
      </c>
      <c r="D807" t="s">
        <v>45</v>
      </c>
      <c r="E807" t="s">
        <v>17</v>
      </c>
      <c r="F807" t="s">
        <v>61</v>
      </c>
      <c r="G807" t="s">
        <v>156</v>
      </c>
      <c r="H807">
        <v>4</v>
      </c>
      <c r="I807">
        <v>504000</v>
      </c>
      <c r="J807" t="s">
        <v>28</v>
      </c>
      <c r="K807" t="s">
        <v>41</v>
      </c>
      <c r="L807">
        <v>23</v>
      </c>
      <c r="M807" t="s">
        <v>30</v>
      </c>
      <c r="N807" t="s">
        <v>2492</v>
      </c>
    </row>
    <row r="808" spans="1:14" x14ac:dyDescent="0.35">
      <c r="A808" t="s">
        <v>2493</v>
      </c>
      <c r="B808" t="s">
        <v>2494</v>
      </c>
      <c r="C808" s="1">
        <v>45240</v>
      </c>
      <c r="D808" t="s">
        <v>16</v>
      </c>
      <c r="E808" t="s">
        <v>34</v>
      </c>
      <c r="F808" t="s">
        <v>252</v>
      </c>
      <c r="G808" t="s">
        <v>307</v>
      </c>
      <c r="H808">
        <v>4</v>
      </c>
      <c r="I808">
        <v>480000</v>
      </c>
      <c r="J808" t="s">
        <v>46</v>
      </c>
      <c r="K808" t="s">
        <v>21</v>
      </c>
      <c r="L808">
        <v>15</v>
      </c>
      <c r="M808" t="s">
        <v>22</v>
      </c>
      <c r="N808" t="s">
        <v>2495</v>
      </c>
    </row>
    <row r="809" spans="1:14" x14ac:dyDescent="0.35">
      <c r="A809" t="s">
        <v>2496</v>
      </c>
      <c r="B809" t="s">
        <v>2497</v>
      </c>
      <c r="C809" s="1">
        <v>45415</v>
      </c>
      <c r="D809" t="s">
        <v>45</v>
      </c>
      <c r="E809" t="s">
        <v>55</v>
      </c>
      <c r="F809" t="s">
        <v>163</v>
      </c>
      <c r="G809" t="s">
        <v>536</v>
      </c>
      <c r="H809">
        <v>5</v>
      </c>
      <c r="I809">
        <v>630000</v>
      </c>
      <c r="J809" t="s">
        <v>46</v>
      </c>
      <c r="K809" t="s">
        <v>41</v>
      </c>
      <c r="L809">
        <v>7</v>
      </c>
      <c r="M809" t="s">
        <v>30</v>
      </c>
      <c r="N809" t="s">
        <v>2498</v>
      </c>
    </row>
    <row r="810" spans="1:14" x14ac:dyDescent="0.35">
      <c r="A810" t="s">
        <v>2499</v>
      </c>
      <c r="B810" t="s">
        <v>2500</v>
      </c>
      <c r="C810" s="1">
        <v>45082</v>
      </c>
      <c r="D810" t="s">
        <v>16</v>
      </c>
      <c r="E810" t="s">
        <v>34</v>
      </c>
      <c r="F810" t="s">
        <v>50</v>
      </c>
      <c r="G810" t="s">
        <v>73</v>
      </c>
      <c r="H810">
        <v>5</v>
      </c>
      <c r="I810">
        <v>500000</v>
      </c>
      <c r="J810" t="s">
        <v>46</v>
      </c>
      <c r="K810" t="s">
        <v>29</v>
      </c>
      <c r="L810">
        <v>27</v>
      </c>
      <c r="M810" t="s">
        <v>22</v>
      </c>
      <c r="N810" t="s">
        <v>2501</v>
      </c>
    </row>
    <row r="811" spans="1:14" x14ac:dyDescent="0.35">
      <c r="A811" t="s">
        <v>2502</v>
      </c>
      <c r="B811" t="s">
        <v>2503</v>
      </c>
      <c r="C811" s="1">
        <v>45268</v>
      </c>
      <c r="D811" t="s">
        <v>66</v>
      </c>
      <c r="E811" t="s">
        <v>34</v>
      </c>
      <c r="F811" t="s">
        <v>26</v>
      </c>
      <c r="G811" t="s">
        <v>27</v>
      </c>
      <c r="H811">
        <v>5</v>
      </c>
      <c r="I811">
        <v>300000</v>
      </c>
      <c r="J811" t="s">
        <v>20</v>
      </c>
      <c r="K811" t="s">
        <v>29</v>
      </c>
      <c r="L811">
        <v>39</v>
      </c>
      <c r="M811" t="s">
        <v>30</v>
      </c>
      <c r="N811" t="s">
        <v>2504</v>
      </c>
    </row>
    <row r="812" spans="1:14" x14ac:dyDescent="0.35">
      <c r="A812" t="s">
        <v>2505</v>
      </c>
      <c r="B812" t="s">
        <v>2506</v>
      </c>
      <c r="C812" s="1">
        <v>45138</v>
      </c>
      <c r="D812" t="s">
        <v>45</v>
      </c>
      <c r="E812" t="s">
        <v>55</v>
      </c>
      <c r="F812" t="s">
        <v>61</v>
      </c>
      <c r="G812" t="s">
        <v>290</v>
      </c>
      <c r="H812">
        <v>4</v>
      </c>
      <c r="I812">
        <v>504000</v>
      </c>
      <c r="J812" t="s">
        <v>83</v>
      </c>
      <c r="K812" t="s">
        <v>41</v>
      </c>
      <c r="L812">
        <v>45</v>
      </c>
      <c r="M812" t="s">
        <v>22</v>
      </c>
      <c r="N812" t="s">
        <v>2507</v>
      </c>
    </row>
    <row r="813" spans="1:14" x14ac:dyDescent="0.35">
      <c r="A813" t="s">
        <v>2508</v>
      </c>
      <c r="B813" t="s">
        <v>2509</v>
      </c>
      <c r="C813" s="1">
        <v>45159</v>
      </c>
      <c r="D813" t="s">
        <v>72</v>
      </c>
      <c r="E813" t="s">
        <v>34</v>
      </c>
      <c r="F813" t="s">
        <v>39</v>
      </c>
      <c r="G813" t="s">
        <v>40</v>
      </c>
      <c r="H813">
        <v>2</v>
      </c>
      <c r="I813">
        <v>90000</v>
      </c>
      <c r="J813" t="s">
        <v>20</v>
      </c>
      <c r="K813" t="s">
        <v>29</v>
      </c>
      <c r="L813">
        <v>16</v>
      </c>
      <c r="M813" t="s">
        <v>22</v>
      </c>
      <c r="N813" t="s">
        <v>2510</v>
      </c>
    </row>
    <row r="814" spans="1:14" x14ac:dyDescent="0.35">
      <c r="A814" t="s">
        <v>2511</v>
      </c>
      <c r="B814" t="s">
        <v>2512</v>
      </c>
      <c r="C814" s="1">
        <v>45246</v>
      </c>
      <c r="D814" t="s">
        <v>45</v>
      </c>
      <c r="E814" t="s">
        <v>34</v>
      </c>
      <c r="F814" t="s">
        <v>61</v>
      </c>
      <c r="G814" t="s">
        <v>156</v>
      </c>
      <c r="H814">
        <v>5</v>
      </c>
      <c r="I814">
        <v>450000</v>
      </c>
      <c r="J814" t="s">
        <v>108</v>
      </c>
      <c r="K814" t="s">
        <v>29</v>
      </c>
      <c r="L814">
        <v>13</v>
      </c>
      <c r="M814" t="s">
        <v>22</v>
      </c>
      <c r="N814" t="s">
        <v>2513</v>
      </c>
    </row>
    <row r="815" spans="1:14" x14ac:dyDescent="0.35">
      <c r="A815" t="s">
        <v>2514</v>
      </c>
      <c r="B815" t="s">
        <v>2515</v>
      </c>
      <c r="C815" s="1">
        <v>45488</v>
      </c>
      <c r="D815" t="s">
        <v>16</v>
      </c>
      <c r="E815" t="s">
        <v>17</v>
      </c>
      <c r="F815" t="s">
        <v>50</v>
      </c>
      <c r="G815" t="s">
        <v>107</v>
      </c>
      <c r="H815">
        <v>2</v>
      </c>
      <c r="I815">
        <v>200000</v>
      </c>
      <c r="J815" t="s">
        <v>20</v>
      </c>
      <c r="K815" t="s">
        <v>29</v>
      </c>
      <c r="L815">
        <v>40</v>
      </c>
      <c r="M815" t="s">
        <v>22</v>
      </c>
      <c r="N815" t="s">
        <v>2516</v>
      </c>
    </row>
    <row r="816" spans="1:14" x14ac:dyDescent="0.35">
      <c r="A816" t="s">
        <v>2517</v>
      </c>
      <c r="B816" t="s">
        <v>2518</v>
      </c>
      <c r="C816" s="1">
        <v>45591</v>
      </c>
      <c r="D816" t="s">
        <v>72</v>
      </c>
      <c r="E816" t="s">
        <v>17</v>
      </c>
      <c r="F816" t="s">
        <v>163</v>
      </c>
      <c r="G816" t="s">
        <v>214</v>
      </c>
      <c r="H816">
        <v>2</v>
      </c>
      <c r="I816">
        <v>90000</v>
      </c>
      <c r="J816" t="s">
        <v>20</v>
      </c>
      <c r="K816" t="s">
        <v>29</v>
      </c>
      <c r="L816">
        <v>47</v>
      </c>
      <c r="M816" t="s">
        <v>30</v>
      </c>
      <c r="N816" t="s">
        <v>2519</v>
      </c>
    </row>
    <row r="817" spans="1:14" x14ac:dyDescent="0.35">
      <c r="A817" t="s">
        <v>2520</v>
      </c>
      <c r="B817" t="s">
        <v>2521</v>
      </c>
      <c r="C817" s="1">
        <v>45492</v>
      </c>
      <c r="D817" t="s">
        <v>16</v>
      </c>
      <c r="E817" t="s">
        <v>55</v>
      </c>
      <c r="F817" t="s">
        <v>18</v>
      </c>
      <c r="G817" t="s">
        <v>19</v>
      </c>
      <c r="H817">
        <v>3</v>
      </c>
      <c r="I817">
        <v>360000</v>
      </c>
      <c r="J817" t="s">
        <v>108</v>
      </c>
      <c r="K817" t="s">
        <v>21</v>
      </c>
      <c r="L817">
        <v>7</v>
      </c>
      <c r="M817" t="s">
        <v>30</v>
      </c>
      <c r="N817" t="s">
        <v>2522</v>
      </c>
    </row>
    <row r="818" spans="1:14" x14ac:dyDescent="0.35">
      <c r="A818" t="s">
        <v>2523</v>
      </c>
      <c r="B818" t="s">
        <v>2524</v>
      </c>
      <c r="C818" s="1">
        <v>45506</v>
      </c>
      <c r="D818" t="s">
        <v>45</v>
      </c>
      <c r="E818" t="s">
        <v>55</v>
      </c>
      <c r="F818" t="s">
        <v>39</v>
      </c>
      <c r="G818" t="s">
        <v>188</v>
      </c>
      <c r="H818">
        <v>1</v>
      </c>
      <c r="I818">
        <v>108000</v>
      </c>
      <c r="J818" t="s">
        <v>28</v>
      </c>
      <c r="K818" t="s">
        <v>21</v>
      </c>
      <c r="L818">
        <v>55</v>
      </c>
      <c r="M818" t="s">
        <v>22</v>
      </c>
      <c r="N818" t="s">
        <v>2525</v>
      </c>
    </row>
    <row r="819" spans="1:14" x14ac:dyDescent="0.35">
      <c r="A819" t="s">
        <v>2526</v>
      </c>
      <c r="B819" t="s">
        <v>2527</v>
      </c>
      <c r="C819" s="1">
        <v>45133</v>
      </c>
      <c r="D819" t="s">
        <v>72</v>
      </c>
      <c r="E819" t="s">
        <v>17</v>
      </c>
      <c r="F819" t="s">
        <v>163</v>
      </c>
      <c r="G819" t="s">
        <v>164</v>
      </c>
      <c r="H819">
        <v>5</v>
      </c>
      <c r="I819">
        <v>225000</v>
      </c>
      <c r="J819" t="s">
        <v>20</v>
      </c>
      <c r="K819" t="s">
        <v>29</v>
      </c>
      <c r="L819">
        <v>38</v>
      </c>
      <c r="M819" t="s">
        <v>30</v>
      </c>
      <c r="N819" t="s">
        <v>2528</v>
      </c>
    </row>
    <row r="820" spans="1:14" x14ac:dyDescent="0.35">
      <c r="A820" t="s">
        <v>2529</v>
      </c>
      <c r="B820" t="s">
        <v>2530</v>
      </c>
      <c r="C820" s="1">
        <v>45200</v>
      </c>
      <c r="D820" t="s">
        <v>16</v>
      </c>
      <c r="E820" t="s">
        <v>34</v>
      </c>
      <c r="F820" t="s">
        <v>56</v>
      </c>
      <c r="G820" t="s">
        <v>144</v>
      </c>
      <c r="H820">
        <v>2</v>
      </c>
      <c r="I820">
        <v>280000</v>
      </c>
      <c r="J820" t="s">
        <v>83</v>
      </c>
      <c r="K820" t="s">
        <v>41</v>
      </c>
      <c r="L820">
        <v>12</v>
      </c>
      <c r="M820" t="s">
        <v>22</v>
      </c>
      <c r="N820" t="s">
        <v>2531</v>
      </c>
    </row>
    <row r="821" spans="1:14" x14ac:dyDescent="0.35">
      <c r="A821" t="s">
        <v>2532</v>
      </c>
      <c r="B821" t="s">
        <v>2533</v>
      </c>
      <c r="C821" s="1">
        <v>45405</v>
      </c>
      <c r="D821" t="s">
        <v>72</v>
      </c>
      <c r="E821" t="s">
        <v>55</v>
      </c>
      <c r="F821" t="s">
        <v>77</v>
      </c>
      <c r="G821" t="s">
        <v>136</v>
      </c>
      <c r="H821">
        <v>2</v>
      </c>
      <c r="I821">
        <v>108000</v>
      </c>
      <c r="J821" t="s">
        <v>108</v>
      </c>
      <c r="K821" t="s">
        <v>21</v>
      </c>
      <c r="L821">
        <v>38</v>
      </c>
      <c r="M821" t="s">
        <v>22</v>
      </c>
      <c r="N821" t="s">
        <v>2534</v>
      </c>
    </row>
    <row r="822" spans="1:14" x14ac:dyDescent="0.35">
      <c r="A822" t="s">
        <v>2535</v>
      </c>
      <c r="B822" t="s">
        <v>2536</v>
      </c>
      <c r="C822" s="1">
        <v>45459</v>
      </c>
      <c r="D822" t="s">
        <v>16</v>
      </c>
      <c r="E822" t="s">
        <v>17</v>
      </c>
      <c r="F822" t="s">
        <v>67</v>
      </c>
      <c r="G822" t="s">
        <v>128</v>
      </c>
      <c r="H822">
        <v>5</v>
      </c>
      <c r="I822">
        <v>700000</v>
      </c>
      <c r="J822" t="s">
        <v>83</v>
      </c>
      <c r="K822" t="s">
        <v>41</v>
      </c>
      <c r="L822">
        <v>18</v>
      </c>
      <c r="M822" t="s">
        <v>22</v>
      </c>
      <c r="N822" t="s">
        <v>2537</v>
      </c>
    </row>
    <row r="823" spans="1:14" x14ac:dyDescent="0.35">
      <c r="A823" t="s">
        <v>2538</v>
      </c>
      <c r="B823" t="s">
        <v>2539</v>
      </c>
      <c r="C823" s="1">
        <v>45617</v>
      </c>
      <c r="D823" t="s">
        <v>66</v>
      </c>
      <c r="E823" t="s">
        <v>34</v>
      </c>
      <c r="F823" t="s">
        <v>18</v>
      </c>
      <c r="G823" t="s">
        <v>181</v>
      </c>
      <c r="H823">
        <v>2</v>
      </c>
      <c r="I823">
        <v>120000</v>
      </c>
      <c r="J823" t="s">
        <v>20</v>
      </c>
      <c r="K823" t="s">
        <v>29</v>
      </c>
      <c r="L823">
        <v>6</v>
      </c>
      <c r="M823" t="s">
        <v>22</v>
      </c>
      <c r="N823" t="s">
        <v>2540</v>
      </c>
    </row>
    <row r="824" spans="1:14" x14ac:dyDescent="0.35">
      <c r="A824" t="s">
        <v>2541</v>
      </c>
      <c r="B824" t="s">
        <v>2542</v>
      </c>
      <c r="C824" s="1">
        <v>45613</v>
      </c>
      <c r="D824" t="s">
        <v>66</v>
      </c>
      <c r="E824" t="s">
        <v>17</v>
      </c>
      <c r="F824" t="s">
        <v>56</v>
      </c>
      <c r="G824" t="s">
        <v>144</v>
      </c>
      <c r="H824">
        <v>1</v>
      </c>
      <c r="I824">
        <v>72000</v>
      </c>
      <c r="J824" t="s">
        <v>28</v>
      </c>
      <c r="K824" t="s">
        <v>21</v>
      </c>
      <c r="L824">
        <v>53</v>
      </c>
      <c r="M824" t="s">
        <v>22</v>
      </c>
      <c r="N824" t="s">
        <v>2543</v>
      </c>
    </row>
    <row r="825" spans="1:14" x14ac:dyDescent="0.35">
      <c r="A825" t="s">
        <v>2544</v>
      </c>
      <c r="B825" t="s">
        <v>2545</v>
      </c>
      <c r="C825" s="1">
        <v>45699</v>
      </c>
      <c r="D825" t="s">
        <v>72</v>
      </c>
      <c r="E825" t="s">
        <v>55</v>
      </c>
      <c r="F825" t="s">
        <v>50</v>
      </c>
      <c r="G825" t="s">
        <v>132</v>
      </c>
      <c r="H825">
        <v>2</v>
      </c>
      <c r="I825">
        <v>90000</v>
      </c>
      <c r="J825" t="s">
        <v>28</v>
      </c>
      <c r="K825" t="s">
        <v>29</v>
      </c>
      <c r="L825">
        <v>53</v>
      </c>
      <c r="M825" t="s">
        <v>22</v>
      </c>
      <c r="N825" t="s">
        <v>2546</v>
      </c>
    </row>
    <row r="826" spans="1:14" x14ac:dyDescent="0.35">
      <c r="A826" t="s">
        <v>2547</v>
      </c>
      <c r="B826" t="s">
        <v>2548</v>
      </c>
      <c r="C826" s="1">
        <v>45110</v>
      </c>
      <c r="D826" t="s">
        <v>16</v>
      </c>
      <c r="E826" t="s">
        <v>55</v>
      </c>
      <c r="F826" t="s">
        <v>252</v>
      </c>
      <c r="G826" t="s">
        <v>257</v>
      </c>
      <c r="H826">
        <v>1</v>
      </c>
      <c r="I826">
        <v>140000</v>
      </c>
      <c r="J826" t="s">
        <v>108</v>
      </c>
      <c r="K826" t="s">
        <v>41</v>
      </c>
      <c r="L826">
        <v>60</v>
      </c>
      <c r="M826" t="s">
        <v>30</v>
      </c>
      <c r="N826" t="s">
        <v>2549</v>
      </c>
    </row>
    <row r="827" spans="1:14" x14ac:dyDescent="0.35">
      <c r="A827" t="s">
        <v>2550</v>
      </c>
      <c r="B827" t="s">
        <v>2551</v>
      </c>
      <c r="C827" s="1">
        <v>45187</v>
      </c>
      <c r="D827" t="s">
        <v>16</v>
      </c>
      <c r="E827" t="s">
        <v>17</v>
      </c>
      <c r="F827" t="s">
        <v>67</v>
      </c>
      <c r="G827" t="s">
        <v>448</v>
      </c>
      <c r="H827">
        <v>4</v>
      </c>
      <c r="I827">
        <v>480000</v>
      </c>
      <c r="J827" t="s">
        <v>20</v>
      </c>
      <c r="K827" t="s">
        <v>21</v>
      </c>
      <c r="L827">
        <v>22</v>
      </c>
      <c r="M827" t="s">
        <v>30</v>
      </c>
      <c r="N827" t="s">
        <v>1401</v>
      </c>
    </row>
    <row r="828" spans="1:14" x14ac:dyDescent="0.35">
      <c r="A828" t="s">
        <v>2552</v>
      </c>
      <c r="B828" t="s">
        <v>2553</v>
      </c>
      <c r="C828" s="1">
        <v>45292</v>
      </c>
      <c r="D828" t="s">
        <v>66</v>
      </c>
      <c r="E828" t="s">
        <v>34</v>
      </c>
      <c r="F828" t="s">
        <v>163</v>
      </c>
      <c r="G828" t="s">
        <v>201</v>
      </c>
      <c r="H828">
        <v>1</v>
      </c>
      <c r="I828">
        <v>84000</v>
      </c>
      <c r="J828" t="s">
        <v>46</v>
      </c>
      <c r="K828" t="s">
        <v>41</v>
      </c>
      <c r="L828">
        <v>56</v>
      </c>
      <c r="M828" t="s">
        <v>30</v>
      </c>
      <c r="N828" t="s">
        <v>2554</v>
      </c>
    </row>
    <row r="829" spans="1:14" x14ac:dyDescent="0.35">
      <c r="A829" t="s">
        <v>2555</v>
      </c>
      <c r="B829" t="s">
        <v>2556</v>
      </c>
      <c r="C829" s="1">
        <v>45485</v>
      </c>
      <c r="D829" t="s">
        <v>16</v>
      </c>
      <c r="E829" t="s">
        <v>34</v>
      </c>
      <c r="F829" t="s">
        <v>56</v>
      </c>
      <c r="G829" t="s">
        <v>57</v>
      </c>
      <c r="H829">
        <v>5</v>
      </c>
      <c r="I829">
        <v>600000</v>
      </c>
      <c r="J829" t="s">
        <v>20</v>
      </c>
      <c r="K829" t="s">
        <v>21</v>
      </c>
      <c r="L829">
        <v>54</v>
      </c>
      <c r="M829" t="s">
        <v>30</v>
      </c>
      <c r="N829" t="s">
        <v>2557</v>
      </c>
    </row>
    <row r="830" spans="1:14" x14ac:dyDescent="0.35">
      <c r="A830" t="s">
        <v>2558</v>
      </c>
      <c r="B830" t="s">
        <v>2559</v>
      </c>
      <c r="C830" s="1">
        <v>45677</v>
      </c>
      <c r="D830" t="s">
        <v>66</v>
      </c>
      <c r="E830" t="s">
        <v>55</v>
      </c>
      <c r="F830" t="s">
        <v>67</v>
      </c>
      <c r="G830" t="s">
        <v>120</v>
      </c>
      <c r="H830">
        <v>2</v>
      </c>
      <c r="I830">
        <v>168000</v>
      </c>
      <c r="J830" t="s">
        <v>46</v>
      </c>
      <c r="K830" t="s">
        <v>41</v>
      </c>
      <c r="L830">
        <v>9</v>
      </c>
      <c r="M830" t="s">
        <v>30</v>
      </c>
      <c r="N830" t="s">
        <v>2560</v>
      </c>
    </row>
    <row r="831" spans="1:14" x14ac:dyDescent="0.35">
      <c r="A831" t="s">
        <v>2561</v>
      </c>
      <c r="B831" t="s">
        <v>2562</v>
      </c>
      <c r="C831" s="1">
        <v>45213</v>
      </c>
      <c r="D831" t="s">
        <v>66</v>
      </c>
      <c r="E831" t="s">
        <v>17</v>
      </c>
      <c r="F831" t="s">
        <v>77</v>
      </c>
      <c r="G831" t="s">
        <v>168</v>
      </c>
      <c r="H831">
        <v>1</v>
      </c>
      <c r="I831">
        <v>60000</v>
      </c>
      <c r="J831" t="s">
        <v>20</v>
      </c>
      <c r="K831" t="s">
        <v>29</v>
      </c>
      <c r="L831">
        <v>12</v>
      </c>
      <c r="M831" t="s">
        <v>30</v>
      </c>
      <c r="N831" t="s">
        <v>2563</v>
      </c>
    </row>
    <row r="832" spans="1:14" x14ac:dyDescent="0.35">
      <c r="A832" t="s">
        <v>2564</v>
      </c>
      <c r="B832" t="s">
        <v>2565</v>
      </c>
      <c r="C832" s="1">
        <v>45567</v>
      </c>
      <c r="D832" t="s">
        <v>16</v>
      </c>
      <c r="E832" t="s">
        <v>17</v>
      </c>
      <c r="F832" t="s">
        <v>67</v>
      </c>
      <c r="G832" t="s">
        <v>128</v>
      </c>
      <c r="H832">
        <v>5</v>
      </c>
      <c r="I832">
        <v>500000</v>
      </c>
      <c r="J832" t="s">
        <v>108</v>
      </c>
      <c r="K832" t="s">
        <v>29</v>
      </c>
      <c r="L832">
        <v>52</v>
      </c>
      <c r="M832" t="s">
        <v>30</v>
      </c>
      <c r="N832" t="s">
        <v>2566</v>
      </c>
    </row>
    <row r="833" spans="1:14" x14ac:dyDescent="0.35">
      <c r="A833" t="s">
        <v>2567</v>
      </c>
      <c r="B833" t="s">
        <v>2568</v>
      </c>
      <c r="C833" s="1">
        <v>45539</v>
      </c>
      <c r="D833" t="s">
        <v>66</v>
      </c>
      <c r="E833" t="s">
        <v>34</v>
      </c>
      <c r="F833" t="s">
        <v>61</v>
      </c>
      <c r="G833" t="s">
        <v>62</v>
      </c>
      <c r="H833">
        <v>3</v>
      </c>
      <c r="I833">
        <v>216000</v>
      </c>
      <c r="J833" t="s">
        <v>83</v>
      </c>
      <c r="K833" t="s">
        <v>21</v>
      </c>
      <c r="L833">
        <v>19</v>
      </c>
      <c r="M833" t="s">
        <v>30</v>
      </c>
      <c r="N833" t="s">
        <v>2569</v>
      </c>
    </row>
    <row r="834" spans="1:14" x14ac:dyDescent="0.35">
      <c r="A834" t="s">
        <v>2570</v>
      </c>
      <c r="B834" t="s">
        <v>2571</v>
      </c>
      <c r="C834" s="1">
        <v>45710</v>
      </c>
      <c r="D834" t="s">
        <v>16</v>
      </c>
      <c r="E834" t="s">
        <v>34</v>
      </c>
      <c r="F834" t="s">
        <v>67</v>
      </c>
      <c r="G834" t="s">
        <v>112</v>
      </c>
      <c r="H834">
        <v>2</v>
      </c>
      <c r="I834">
        <v>200000</v>
      </c>
      <c r="J834" t="s">
        <v>83</v>
      </c>
      <c r="K834" t="s">
        <v>29</v>
      </c>
      <c r="L834">
        <v>24</v>
      </c>
      <c r="M834" t="s">
        <v>30</v>
      </c>
      <c r="N834" t="s">
        <v>2572</v>
      </c>
    </row>
    <row r="835" spans="1:14" x14ac:dyDescent="0.35">
      <c r="A835" t="s">
        <v>2573</v>
      </c>
      <c r="B835" t="s">
        <v>2574</v>
      </c>
      <c r="C835" s="1">
        <v>45059</v>
      </c>
      <c r="D835" t="s">
        <v>66</v>
      </c>
      <c r="E835" t="s">
        <v>55</v>
      </c>
      <c r="F835" t="s">
        <v>67</v>
      </c>
      <c r="G835" t="s">
        <v>448</v>
      </c>
      <c r="H835">
        <v>4</v>
      </c>
      <c r="I835">
        <v>336000</v>
      </c>
      <c r="J835" t="s">
        <v>20</v>
      </c>
      <c r="K835" t="s">
        <v>41</v>
      </c>
      <c r="L835">
        <v>51</v>
      </c>
      <c r="M835" t="s">
        <v>22</v>
      </c>
      <c r="N835" t="s">
        <v>2575</v>
      </c>
    </row>
    <row r="836" spans="1:14" x14ac:dyDescent="0.35">
      <c r="A836" t="s">
        <v>2576</v>
      </c>
      <c r="B836" t="s">
        <v>2577</v>
      </c>
      <c r="C836" s="1">
        <v>45725</v>
      </c>
      <c r="D836" t="s">
        <v>16</v>
      </c>
      <c r="E836" t="s">
        <v>55</v>
      </c>
      <c r="F836" t="s">
        <v>39</v>
      </c>
      <c r="G836" t="s">
        <v>40</v>
      </c>
      <c r="H836">
        <v>3</v>
      </c>
      <c r="I836">
        <v>420000</v>
      </c>
      <c r="J836" t="s">
        <v>20</v>
      </c>
      <c r="K836" t="s">
        <v>41</v>
      </c>
      <c r="L836">
        <v>9</v>
      </c>
      <c r="M836" t="s">
        <v>22</v>
      </c>
      <c r="N836" t="s">
        <v>2578</v>
      </c>
    </row>
    <row r="837" spans="1:14" x14ac:dyDescent="0.35">
      <c r="A837" t="s">
        <v>2579</v>
      </c>
      <c r="B837" t="s">
        <v>2580</v>
      </c>
      <c r="C837" s="1">
        <v>45334</v>
      </c>
      <c r="D837" t="s">
        <v>72</v>
      </c>
      <c r="E837" t="s">
        <v>17</v>
      </c>
      <c r="F837" t="s">
        <v>163</v>
      </c>
      <c r="G837" t="s">
        <v>282</v>
      </c>
      <c r="H837">
        <v>3</v>
      </c>
      <c r="I837">
        <v>162000</v>
      </c>
      <c r="J837" t="s">
        <v>28</v>
      </c>
      <c r="K837" t="s">
        <v>21</v>
      </c>
      <c r="L837">
        <v>36</v>
      </c>
      <c r="M837" t="s">
        <v>30</v>
      </c>
      <c r="N837" t="s">
        <v>2581</v>
      </c>
    </row>
    <row r="838" spans="1:14" x14ac:dyDescent="0.35">
      <c r="A838" t="s">
        <v>2582</v>
      </c>
      <c r="B838" t="s">
        <v>2583</v>
      </c>
      <c r="C838" s="1">
        <v>45483</v>
      </c>
      <c r="D838" t="s">
        <v>45</v>
      </c>
      <c r="E838" t="s">
        <v>55</v>
      </c>
      <c r="F838" t="s">
        <v>39</v>
      </c>
      <c r="G838" t="s">
        <v>393</v>
      </c>
      <c r="H838">
        <v>2</v>
      </c>
      <c r="I838">
        <v>180000</v>
      </c>
      <c r="J838" t="s">
        <v>20</v>
      </c>
      <c r="K838" t="s">
        <v>29</v>
      </c>
      <c r="L838">
        <v>23</v>
      </c>
      <c r="M838" t="s">
        <v>22</v>
      </c>
      <c r="N838" t="s">
        <v>2584</v>
      </c>
    </row>
    <row r="839" spans="1:14" x14ac:dyDescent="0.35">
      <c r="A839" t="s">
        <v>2585</v>
      </c>
      <c r="B839" t="s">
        <v>2586</v>
      </c>
      <c r="C839" s="1">
        <v>45220</v>
      </c>
      <c r="D839" t="s">
        <v>66</v>
      </c>
      <c r="E839" t="s">
        <v>55</v>
      </c>
      <c r="F839" t="s">
        <v>26</v>
      </c>
      <c r="G839" t="s">
        <v>35</v>
      </c>
      <c r="H839">
        <v>5</v>
      </c>
      <c r="I839">
        <v>300000</v>
      </c>
      <c r="J839" t="s">
        <v>28</v>
      </c>
      <c r="K839" t="s">
        <v>29</v>
      </c>
      <c r="L839">
        <v>16</v>
      </c>
      <c r="M839" t="s">
        <v>30</v>
      </c>
      <c r="N839" t="s">
        <v>2587</v>
      </c>
    </row>
    <row r="840" spans="1:14" x14ac:dyDescent="0.35">
      <c r="A840" t="s">
        <v>2588</v>
      </c>
      <c r="B840" t="s">
        <v>2589</v>
      </c>
      <c r="C840" s="1">
        <v>45070</v>
      </c>
      <c r="D840" t="s">
        <v>72</v>
      </c>
      <c r="E840" t="s">
        <v>55</v>
      </c>
      <c r="F840" t="s">
        <v>163</v>
      </c>
      <c r="G840" t="s">
        <v>282</v>
      </c>
      <c r="H840">
        <v>1</v>
      </c>
      <c r="I840">
        <v>45000</v>
      </c>
      <c r="J840" t="s">
        <v>20</v>
      </c>
      <c r="K840" t="s">
        <v>29</v>
      </c>
      <c r="L840">
        <v>51</v>
      </c>
      <c r="M840" t="s">
        <v>22</v>
      </c>
      <c r="N840" t="s">
        <v>2590</v>
      </c>
    </row>
    <row r="841" spans="1:14" x14ac:dyDescent="0.35">
      <c r="A841" t="s">
        <v>2591</v>
      </c>
      <c r="B841" t="s">
        <v>2592</v>
      </c>
      <c r="C841" s="1">
        <v>45365</v>
      </c>
      <c r="D841" t="s">
        <v>72</v>
      </c>
      <c r="E841" t="s">
        <v>17</v>
      </c>
      <c r="F841" t="s">
        <v>77</v>
      </c>
      <c r="G841" t="s">
        <v>91</v>
      </c>
      <c r="H841">
        <v>4</v>
      </c>
      <c r="I841">
        <v>180000</v>
      </c>
      <c r="J841" t="s">
        <v>20</v>
      </c>
      <c r="K841" t="s">
        <v>29</v>
      </c>
      <c r="L841">
        <v>24</v>
      </c>
      <c r="M841" t="s">
        <v>22</v>
      </c>
      <c r="N841" t="s">
        <v>2593</v>
      </c>
    </row>
    <row r="842" spans="1:14" x14ac:dyDescent="0.35">
      <c r="A842" t="s">
        <v>2594</v>
      </c>
      <c r="B842" t="s">
        <v>2595</v>
      </c>
      <c r="C842" s="1">
        <v>45500</v>
      </c>
      <c r="D842" t="s">
        <v>66</v>
      </c>
      <c r="E842" t="s">
        <v>55</v>
      </c>
      <c r="F842" t="s">
        <v>67</v>
      </c>
      <c r="G842" t="s">
        <v>448</v>
      </c>
      <c r="H842">
        <v>2</v>
      </c>
      <c r="I842">
        <v>120000</v>
      </c>
      <c r="J842" t="s">
        <v>28</v>
      </c>
      <c r="K842" t="s">
        <v>29</v>
      </c>
      <c r="L842">
        <v>26</v>
      </c>
      <c r="M842" t="s">
        <v>22</v>
      </c>
      <c r="N842" t="s">
        <v>2596</v>
      </c>
    </row>
    <row r="843" spans="1:14" x14ac:dyDescent="0.35">
      <c r="A843" t="s">
        <v>2597</v>
      </c>
      <c r="B843" t="s">
        <v>2598</v>
      </c>
      <c r="C843" s="1">
        <v>45532</v>
      </c>
      <c r="D843" t="s">
        <v>16</v>
      </c>
      <c r="E843" t="s">
        <v>55</v>
      </c>
      <c r="F843" t="s">
        <v>77</v>
      </c>
      <c r="G843" t="s">
        <v>78</v>
      </c>
      <c r="H843">
        <v>5</v>
      </c>
      <c r="I843">
        <v>600000</v>
      </c>
      <c r="J843" t="s">
        <v>20</v>
      </c>
      <c r="K843" t="s">
        <v>21</v>
      </c>
      <c r="L843">
        <v>20</v>
      </c>
      <c r="M843" t="s">
        <v>30</v>
      </c>
      <c r="N843" t="s">
        <v>2599</v>
      </c>
    </row>
    <row r="844" spans="1:14" x14ac:dyDescent="0.35">
      <c r="A844" t="s">
        <v>2600</v>
      </c>
      <c r="B844" t="s">
        <v>2601</v>
      </c>
      <c r="C844" s="1">
        <v>45565</v>
      </c>
      <c r="D844" t="s">
        <v>45</v>
      </c>
      <c r="E844" t="s">
        <v>34</v>
      </c>
      <c r="F844" t="s">
        <v>163</v>
      </c>
      <c r="G844" t="s">
        <v>201</v>
      </c>
      <c r="H844">
        <v>2</v>
      </c>
      <c r="I844">
        <v>252000</v>
      </c>
      <c r="J844" t="s">
        <v>20</v>
      </c>
      <c r="K844" t="s">
        <v>41</v>
      </c>
      <c r="L844">
        <v>51</v>
      </c>
      <c r="M844" t="s">
        <v>30</v>
      </c>
      <c r="N844" t="s">
        <v>2602</v>
      </c>
    </row>
    <row r="845" spans="1:14" x14ac:dyDescent="0.35">
      <c r="A845" t="s">
        <v>2603</v>
      </c>
      <c r="B845" t="s">
        <v>2604</v>
      </c>
      <c r="C845" s="1">
        <v>45106</v>
      </c>
      <c r="D845" t="s">
        <v>45</v>
      </c>
      <c r="E845" t="s">
        <v>34</v>
      </c>
      <c r="F845" t="s">
        <v>252</v>
      </c>
      <c r="G845" t="s">
        <v>504</v>
      </c>
      <c r="H845">
        <v>3</v>
      </c>
      <c r="I845">
        <v>324000</v>
      </c>
      <c r="J845" t="s">
        <v>28</v>
      </c>
      <c r="K845" t="s">
        <v>21</v>
      </c>
      <c r="L845">
        <v>41</v>
      </c>
      <c r="M845" t="s">
        <v>30</v>
      </c>
      <c r="N845" t="s">
        <v>2605</v>
      </c>
    </row>
    <row r="846" spans="1:14" x14ac:dyDescent="0.35">
      <c r="A846" t="s">
        <v>2606</v>
      </c>
      <c r="B846" t="s">
        <v>2607</v>
      </c>
      <c r="C846" s="1">
        <v>45592</v>
      </c>
      <c r="D846" t="s">
        <v>72</v>
      </c>
      <c r="E846" t="s">
        <v>34</v>
      </c>
      <c r="F846" t="s">
        <v>163</v>
      </c>
      <c r="G846" t="s">
        <v>201</v>
      </c>
      <c r="H846">
        <v>4</v>
      </c>
      <c r="I846">
        <v>216000</v>
      </c>
      <c r="J846" t="s">
        <v>20</v>
      </c>
      <c r="K846" t="s">
        <v>21</v>
      </c>
      <c r="L846">
        <v>29</v>
      </c>
      <c r="M846" t="s">
        <v>30</v>
      </c>
      <c r="N846" t="s">
        <v>2608</v>
      </c>
    </row>
    <row r="847" spans="1:14" x14ac:dyDescent="0.35">
      <c r="A847" t="s">
        <v>2609</v>
      </c>
      <c r="B847" t="s">
        <v>2610</v>
      </c>
      <c r="C847" s="1">
        <v>45737</v>
      </c>
      <c r="D847" t="s">
        <v>16</v>
      </c>
      <c r="E847" t="s">
        <v>34</v>
      </c>
      <c r="F847" t="s">
        <v>50</v>
      </c>
      <c r="G847" t="s">
        <v>51</v>
      </c>
      <c r="H847">
        <v>2</v>
      </c>
      <c r="I847">
        <v>240000</v>
      </c>
      <c r="J847" t="s">
        <v>108</v>
      </c>
      <c r="K847" t="s">
        <v>21</v>
      </c>
      <c r="L847">
        <v>46</v>
      </c>
      <c r="M847" t="s">
        <v>30</v>
      </c>
      <c r="N847" t="s">
        <v>2611</v>
      </c>
    </row>
    <row r="848" spans="1:14" x14ac:dyDescent="0.35">
      <c r="A848" t="s">
        <v>2612</v>
      </c>
      <c r="B848" t="s">
        <v>2613</v>
      </c>
      <c r="C848" s="1">
        <v>45175</v>
      </c>
      <c r="D848" t="s">
        <v>72</v>
      </c>
      <c r="E848" t="s">
        <v>17</v>
      </c>
      <c r="F848" t="s">
        <v>61</v>
      </c>
      <c r="G848" t="s">
        <v>156</v>
      </c>
      <c r="H848">
        <v>2</v>
      </c>
      <c r="I848">
        <v>126000</v>
      </c>
      <c r="J848" t="s">
        <v>83</v>
      </c>
      <c r="K848" t="s">
        <v>41</v>
      </c>
      <c r="L848">
        <v>20</v>
      </c>
      <c r="M848" t="s">
        <v>22</v>
      </c>
      <c r="N848" t="s">
        <v>2614</v>
      </c>
    </row>
    <row r="849" spans="1:14" x14ac:dyDescent="0.35">
      <c r="A849" t="s">
        <v>2615</v>
      </c>
      <c r="B849" t="s">
        <v>2616</v>
      </c>
      <c r="C849" s="1">
        <v>45407</v>
      </c>
      <c r="D849" t="s">
        <v>16</v>
      </c>
      <c r="E849" t="s">
        <v>17</v>
      </c>
      <c r="F849" t="s">
        <v>163</v>
      </c>
      <c r="G849" t="s">
        <v>282</v>
      </c>
      <c r="H849">
        <v>3</v>
      </c>
      <c r="I849">
        <v>420000</v>
      </c>
      <c r="J849" t="s">
        <v>108</v>
      </c>
      <c r="K849" t="s">
        <v>41</v>
      </c>
      <c r="L849">
        <v>50</v>
      </c>
      <c r="M849" t="s">
        <v>30</v>
      </c>
      <c r="N849" t="s">
        <v>2617</v>
      </c>
    </row>
    <row r="850" spans="1:14" x14ac:dyDescent="0.35">
      <c r="A850" t="s">
        <v>2618</v>
      </c>
      <c r="B850" t="s">
        <v>2619</v>
      </c>
      <c r="C850" s="1">
        <v>45360</v>
      </c>
      <c r="D850" t="s">
        <v>72</v>
      </c>
      <c r="E850" t="s">
        <v>17</v>
      </c>
      <c r="F850" t="s">
        <v>50</v>
      </c>
      <c r="G850" t="s">
        <v>73</v>
      </c>
      <c r="H850">
        <v>2</v>
      </c>
      <c r="I850">
        <v>108000</v>
      </c>
      <c r="J850" t="s">
        <v>83</v>
      </c>
      <c r="K850" t="s">
        <v>21</v>
      </c>
      <c r="L850">
        <v>11</v>
      </c>
      <c r="M850" t="s">
        <v>30</v>
      </c>
      <c r="N850" t="s">
        <v>2620</v>
      </c>
    </row>
    <row r="851" spans="1:14" x14ac:dyDescent="0.35">
      <c r="A851" t="s">
        <v>2621</v>
      </c>
      <c r="B851" t="s">
        <v>2622</v>
      </c>
      <c r="C851" s="1">
        <v>45080</v>
      </c>
      <c r="D851" t="s">
        <v>72</v>
      </c>
      <c r="E851" t="s">
        <v>55</v>
      </c>
      <c r="F851" t="s">
        <v>50</v>
      </c>
      <c r="G851" t="s">
        <v>51</v>
      </c>
      <c r="H851">
        <v>5</v>
      </c>
      <c r="I851">
        <v>315000</v>
      </c>
      <c r="J851" t="s">
        <v>46</v>
      </c>
      <c r="K851" t="s">
        <v>41</v>
      </c>
      <c r="L851">
        <v>48</v>
      </c>
      <c r="M851" t="s">
        <v>30</v>
      </c>
      <c r="N851" t="s">
        <v>2623</v>
      </c>
    </row>
    <row r="852" spans="1:14" x14ac:dyDescent="0.35">
      <c r="A852" t="s">
        <v>2624</v>
      </c>
      <c r="B852" t="s">
        <v>2625</v>
      </c>
      <c r="C852" s="1">
        <v>45158</v>
      </c>
      <c r="D852" t="s">
        <v>16</v>
      </c>
      <c r="E852" t="s">
        <v>55</v>
      </c>
      <c r="F852" t="s">
        <v>77</v>
      </c>
      <c r="G852" t="s">
        <v>383</v>
      </c>
      <c r="H852">
        <v>1</v>
      </c>
      <c r="I852">
        <v>100000</v>
      </c>
      <c r="J852" t="s">
        <v>46</v>
      </c>
      <c r="K852" t="s">
        <v>29</v>
      </c>
      <c r="L852">
        <v>6</v>
      </c>
      <c r="M852" t="s">
        <v>22</v>
      </c>
      <c r="N852" t="s">
        <v>2626</v>
      </c>
    </row>
    <row r="853" spans="1:14" x14ac:dyDescent="0.35">
      <c r="A853" t="s">
        <v>2627</v>
      </c>
      <c r="B853" t="s">
        <v>2628</v>
      </c>
      <c r="C853" s="1">
        <v>45270</v>
      </c>
      <c r="D853" t="s">
        <v>45</v>
      </c>
      <c r="E853" t="s">
        <v>55</v>
      </c>
      <c r="F853" t="s">
        <v>77</v>
      </c>
      <c r="G853" t="s">
        <v>136</v>
      </c>
      <c r="H853">
        <v>2</v>
      </c>
      <c r="I853">
        <v>252000</v>
      </c>
      <c r="J853" t="s">
        <v>83</v>
      </c>
      <c r="K853" t="s">
        <v>41</v>
      </c>
      <c r="L853">
        <v>60</v>
      </c>
      <c r="M853" t="s">
        <v>30</v>
      </c>
      <c r="N853" t="s">
        <v>2629</v>
      </c>
    </row>
    <row r="854" spans="1:14" x14ac:dyDescent="0.35">
      <c r="A854" t="s">
        <v>2630</v>
      </c>
      <c r="B854" t="s">
        <v>2631</v>
      </c>
      <c r="C854" s="1">
        <v>45641</v>
      </c>
      <c r="D854" t="s">
        <v>16</v>
      </c>
      <c r="E854" t="s">
        <v>55</v>
      </c>
      <c r="F854" t="s">
        <v>61</v>
      </c>
      <c r="G854" t="s">
        <v>99</v>
      </c>
      <c r="H854">
        <v>3</v>
      </c>
      <c r="I854">
        <v>360000</v>
      </c>
      <c r="J854" t="s">
        <v>28</v>
      </c>
      <c r="K854" t="s">
        <v>21</v>
      </c>
      <c r="L854">
        <v>13</v>
      </c>
      <c r="M854" t="s">
        <v>22</v>
      </c>
      <c r="N854" t="s">
        <v>2632</v>
      </c>
    </row>
    <row r="855" spans="1:14" x14ac:dyDescent="0.35">
      <c r="A855" t="s">
        <v>2633</v>
      </c>
      <c r="B855" t="s">
        <v>2634</v>
      </c>
      <c r="C855" s="1">
        <v>45381</v>
      </c>
      <c r="D855" t="s">
        <v>16</v>
      </c>
      <c r="E855" t="s">
        <v>55</v>
      </c>
      <c r="F855" t="s">
        <v>18</v>
      </c>
      <c r="G855" t="s">
        <v>297</v>
      </c>
      <c r="H855">
        <v>5</v>
      </c>
      <c r="I855">
        <v>500000</v>
      </c>
      <c r="J855" t="s">
        <v>20</v>
      </c>
      <c r="K855" t="s">
        <v>29</v>
      </c>
      <c r="L855">
        <v>42</v>
      </c>
      <c r="M855" t="s">
        <v>30</v>
      </c>
      <c r="N855" t="s">
        <v>2635</v>
      </c>
    </row>
    <row r="856" spans="1:14" x14ac:dyDescent="0.35">
      <c r="A856" t="s">
        <v>2636</v>
      </c>
      <c r="B856" t="s">
        <v>2637</v>
      </c>
      <c r="C856" s="1">
        <v>45638</v>
      </c>
      <c r="D856" t="s">
        <v>16</v>
      </c>
      <c r="E856" t="s">
        <v>17</v>
      </c>
      <c r="F856" t="s">
        <v>18</v>
      </c>
      <c r="G856" t="s">
        <v>452</v>
      </c>
      <c r="H856">
        <v>4</v>
      </c>
      <c r="I856">
        <v>560000</v>
      </c>
      <c r="J856" t="s">
        <v>20</v>
      </c>
      <c r="K856" t="s">
        <v>41</v>
      </c>
      <c r="L856">
        <v>36</v>
      </c>
      <c r="M856" t="s">
        <v>30</v>
      </c>
      <c r="N856" t="s">
        <v>2638</v>
      </c>
    </row>
    <row r="857" spans="1:14" x14ac:dyDescent="0.35">
      <c r="A857" t="s">
        <v>2639</v>
      </c>
      <c r="B857" t="s">
        <v>2640</v>
      </c>
      <c r="C857" s="1">
        <v>45605</v>
      </c>
      <c r="D857" t="s">
        <v>16</v>
      </c>
      <c r="E857" t="s">
        <v>34</v>
      </c>
      <c r="F857" t="s">
        <v>50</v>
      </c>
      <c r="G857" t="s">
        <v>148</v>
      </c>
      <c r="H857">
        <v>2</v>
      </c>
      <c r="I857">
        <v>240000</v>
      </c>
      <c r="J857" t="s">
        <v>28</v>
      </c>
      <c r="K857" t="s">
        <v>21</v>
      </c>
      <c r="L857">
        <v>56</v>
      </c>
      <c r="M857" t="s">
        <v>22</v>
      </c>
      <c r="N857" t="s">
        <v>2641</v>
      </c>
    </row>
    <row r="858" spans="1:14" x14ac:dyDescent="0.35">
      <c r="A858" t="s">
        <v>2642</v>
      </c>
      <c r="B858" t="s">
        <v>2643</v>
      </c>
      <c r="C858" s="1">
        <v>45208</v>
      </c>
      <c r="D858" t="s">
        <v>72</v>
      </c>
      <c r="E858" t="s">
        <v>17</v>
      </c>
      <c r="F858" t="s">
        <v>18</v>
      </c>
      <c r="G858" t="s">
        <v>181</v>
      </c>
      <c r="H858">
        <v>1</v>
      </c>
      <c r="I858">
        <v>63000</v>
      </c>
      <c r="J858" t="s">
        <v>28</v>
      </c>
      <c r="K858" t="s">
        <v>41</v>
      </c>
      <c r="L858">
        <v>5</v>
      </c>
      <c r="M858" t="s">
        <v>30</v>
      </c>
      <c r="N858" t="s">
        <v>2644</v>
      </c>
    </row>
    <row r="859" spans="1:14" x14ac:dyDescent="0.35">
      <c r="A859" t="s">
        <v>2645</v>
      </c>
      <c r="B859" t="s">
        <v>2646</v>
      </c>
      <c r="C859" s="1">
        <v>45498</v>
      </c>
      <c r="D859" t="s">
        <v>45</v>
      </c>
      <c r="E859" t="s">
        <v>17</v>
      </c>
      <c r="F859" t="s">
        <v>61</v>
      </c>
      <c r="G859" t="s">
        <v>99</v>
      </c>
      <c r="H859">
        <v>2</v>
      </c>
      <c r="I859">
        <v>216000</v>
      </c>
      <c r="J859" t="s">
        <v>46</v>
      </c>
      <c r="K859" t="s">
        <v>21</v>
      </c>
      <c r="L859">
        <v>19</v>
      </c>
      <c r="M859" t="s">
        <v>22</v>
      </c>
      <c r="N859" t="s">
        <v>2647</v>
      </c>
    </row>
    <row r="860" spans="1:14" x14ac:dyDescent="0.35">
      <c r="A860" t="s">
        <v>2648</v>
      </c>
      <c r="B860" t="s">
        <v>2649</v>
      </c>
      <c r="C860" s="1">
        <v>45463</v>
      </c>
      <c r="D860" t="s">
        <v>66</v>
      </c>
      <c r="E860" t="s">
        <v>55</v>
      </c>
      <c r="F860" t="s">
        <v>252</v>
      </c>
      <c r="G860" t="s">
        <v>286</v>
      </c>
      <c r="H860">
        <v>5</v>
      </c>
      <c r="I860">
        <v>420000</v>
      </c>
      <c r="J860" t="s">
        <v>83</v>
      </c>
      <c r="K860" t="s">
        <v>41</v>
      </c>
      <c r="L860">
        <v>5</v>
      </c>
      <c r="M860" t="s">
        <v>22</v>
      </c>
      <c r="N860" t="s">
        <v>2650</v>
      </c>
    </row>
    <row r="861" spans="1:14" x14ac:dyDescent="0.35">
      <c r="A861" t="s">
        <v>2651</v>
      </c>
      <c r="B861" t="s">
        <v>2652</v>
      </c>
      <c r="C861" s="1">
        <v>45594</v>
      </c>
      <c r="D861" t="s">
        <v>16</v>
      </c>
      <c r="E861" t="s">
        <v>17</v>
      </c>
      <c r="F861" t="s">
        <v>163</v>
      </c>
      <c r="G861" t="s">
        <v>214</v>
      </c>
      <c r="H861">
        <v>3</v>
      </c>
      <c r="I861">
        <v>360000</v>
      </c>
      <c r="J861" t="s">
        <v>46</v>
      </c>
      <c r="K861" t="s">
        <v>21</v>
      </c>
      <c r="L861">
        <v>60</v>
      </c>
      <c r="M861" t="s">
        <v>30</v>
      </c>
      <c r="N861" t="s">
        <v>2653</v>
      </c>
    </row>
    <row r="862" spans="1:14" x14ac:dyDescent="0.35">
      <c r="A862" t="s">
        <v>2654</v>
      </c>
      <c r="B862" t="s">
        <v>2655</v>
      </c>
      <c r="C862" s="1">
        <v>45604</v>
      </c>
      <c r="D862" t="s">
        <v>72</v>
      </c>
      <c r="E862" t="s">
        <v>34</v>
      </c>
      <c r="F862" t="s">
        <v>39</v>
      </c>
      <c r="G862" t="s">
        <v>40</v>
      </c>
      <c r="H862">
        <v>1</v>
      </c>
      <c r="I862">
        <v>54000</v>
      </c>
      <c r="J862" t="s">
        <v>108</v>
      </c>
      <c r="K862" t="s">
        <v>21</v>
      </c>
      <c r="L862">
        <v>27</v>
      </c>
      <c r="M862" t="s">
        <v>22</v>
      </c>
      <c r="N862" t="s">
        <v>2656</v>
      </c>
    </row>
    <row r="863" spans="1:14" x14ac:dyDescent="0.35">
      <c r="A863" t="s">
        <v>2657</v>
      </c>
      <c r="B863" t="s">
        <v>2658</v>
      </c>
      <c r="C863" s="1">
        <v>45492</v>
      </c>
      <c r="D863" t="s">
        <v>72</v>
      </c>
      <c r="E863" t="s">
        <v>55</v>
      </c>
      <c r="F863" t="s">
        <v>39</v>
      </c>
      <c r="G863" t="s">
        <v>82</v>
      </c>
      <c r="H863">
        <v>5</v>
      </c>
      <c r="I863">
        <v>315000</v>
      </c>
      <c r="J863" t="s">
        <v>20</v>
      </c>
      <c r="K863" t="s">
        <v>41</v>
      </c>
      <c r="L863">
        <v>5</v>
      </c>
      <c r="M863" t="s">
        <v>22</v>
      </c>
      <c r="N863" t="s">
        <v>857</v>
      </c>
    </row>
    <row r="864" spans="1:14" x14ac:dyDescent="0.35">
      <c r="A864" t="s">
        <v>2659</v>
      </c>
      <c r="B864" t="s">
        <v>2660</v>
      </c>
      <c r="C864" s="1">
        <v>45474</v>
      </c>
      <c r="D864" t="s">
        <v>66</v>
      </c>
      <c r="E864" t="s">
        <v>55</v>
      </c>
      <c r="F864" t="s">
        <v>77</v>
      </c>
      <c r="G864" t="s">
        <v>78</v>
      </c>
      <c r="H864">
        <v>1</v>
      </c>
      <c r="I864">
        <v>84000</v>
      </c>
      <c r="J864" t="s">
        <v>83</v>
      </c>
      <c r="K864" t="s">
        <v>41</v>
      </c>
      <c r="L864">
        <v>25</v>
      </c>
      <c r="M864" t="s">
        <v>22</v>
      </c>
      <c r="N864" t="s">
        <v>2661</v>
      </c>
    </row>
    <row r="865" spans="1:14" x14ac:dyDescent="0.35">
      <c r="A865" t="s">
        <v>2662</v>
      </c>
      <c r="B865" t="s">
        <v>2663</v>
      </c>
      <c r="C865" s="1">
        <v>45707</v>
      </c>
      <c r="D865" t="s">
        <v>66</v>
      </c>
      <c r="E865" t="s">
        <v>17</v>
      </c>
      <c r="F865" t="s">
        <v>18</v>
      </c>
      <c r="G865" t="s">
        <v>452</v>
      </c>
      <c r="H865">
        <v>1</v>
      </c>
      <c r="I865">
        <v>60000</v>
      </c>
      <c r="J865" t="s">
        <v>46</v>
      </c>
      <c r="K865" t="s">
        <v>29</v>
      </c>
      <c r="L865">
        <v>48</v>
      </c>
      <c r="M865" t="s">
        <v>22</v>
      </c>
      <c r="N865" t="s">
        <v>2664</v>
      </c>
    </row>
    <row r="866" spans="1:14" x14ac:dyDescent="0.35">
      <c r="A866" t="s">
        <v>2665</v>
      </c>
      <c r="B866" t="s">
        <v>2666</v>
      </c>
      <c r="C866" s="1">
        <v>45670</v>
      </c>
      <c r="D866" t="s">
        <v>72</v>
      </c>
      <c r="E866" t="s">
        <v>34</v>
      </c>
      <c r="F866" t="s">
        <v>61</v>
      </c>
      <c r="G866" t="s">
        <v>156</v>
      </c>
      <c r="H866">
        <v>5</v>
      </c>
      <c r="I866">
        <v>315000</v>
      </c>
      <c r="J866" t="s">
        <v>108</v>
      </c>
      <c r="K866" t="s">
        <v>41</v>
      </c>
      <c r="L866">
        <v>10</v>
      </c>
      <c r="M866" t="s">
        <v>22</v>
      </c>
      <c r="N866" t="s">
        <v>2667</v>
      </c>
    </row>
    <row r="867" spans="1:14" x14ac:dyDescent="0.35">
      <c r="A867" t="s">
        <v>2668</v>
      </c>
      <c r="B867" t="s">
        <v>2669</v>
      </c>
      <c r="C867" s="1">
        <v>45366</v>
      </c>
      <c r="D867" t="s">
        <v>16</v>
      </c>
      <c r="E867" t="s">
        <v>34</v>
      </c>
      <c r="F867" t="s">
        <v>61</v>
      </c>
      <c r="G867" t="s">
        <v>99</v>
      </c>
      <c r="H867">
        <v>5</v>
      </c>
      <c r="I867">
        <v>700000</v>
      </c>
      <c r="J867" t="s">
        <v>20</v>
      </c>
      <c r="K867" t="s">
        <v>41</v>
      </c>
      <c r="L867">
        <v>30</v>
      </c>
      <c r="M867" t="s">
        <v>22</v>
      </c>
      <c r="N867" t="s">
        <v>2670</v>
      </c>
    </row>
    <row r="868" spans="1:14" x14ac:dyDescent="0.35">
      <c r="A868" t="s">
        <v>2671</v>
      </c>
      <c r="B868" t="s">
        <v>2672</v>
      </c>
      <c r="C868" s="1">
        <v>45264</v>
      </c>
      <c r="D868" t="s">
        <v>66</v>
      </c>
      <c r="E868" t="s">
        <v>34</v>
      </c>
      <c r="F868" t="s">
        <v>50</v>
      </c>
      <c r="G868" t="s">
        <v>132</v>
      </c>
      <c r="H868">
        <v>2</v>
      </c>
      <c r="I868">
        <v>168000</v>
      </c>
      <c r="J868" t="s">
        <v>46</v>
      </c>
      <c r="K868" t="s">
        <v>41</v>
      </c>
      <c r="L868">
        <v>14</v>
      </c>
      <c r="M868" t="s">
        <v>30</v>
      </c>
      <c r="N868" t="s">
        <v>2673</v>
      </c>
    </row>
    <row r="869" spans="1:14" x14ac:dyDescent="0.35">
      <c r="A869" t="s">
        <v>2674</v>
      </c>
      <c r="B869" t="s">
        <v>2675</v>
      </c>
      <c r="C869" s="1">
        <v>45732</v>
      </c>
      <c r="D869" t="s">
        <v>72</v>
      </c>
      <c r="E869" t="s">
        <v>34</v>
      </c>
      <c r="F869" t="s">
        <v>39</v>
      </c>
      <c r="G869" t="s">
        <v>393</v>
      </c>
      <c r="H869">
        <v>4</v>
      </c>
      <c r="I869">
        <v>216000</v>
      </c>
      <c r="J869" t="s">
        <v>20</v>
      </c>
      <c r="K869" t="s">
        <v>21</v>
      </c>
      <c r="L869">
        <v>36</v>
      </c>
      <c r="M869" t="s">
        <v>30</v>
      </c>
      <c r="N869" t="s">
        <v>2676</v>
      </c>
    </row>
    <row r="870" spans="1:14" x14ac:dyDescent="0.35">
      <c r="A870" t="s">
        <v>2677</v>
      </c>
      <c r="B870" t="s">
        <v>2678</v>
      </c>
      <c r="C870" s="1">
        <v>45232</v>
      </c>
      <c r="D870" t="s">
        <v>16</v>
      </c>
      <c r="E870" t="s">
        <v>55</v>
      </c>
      <c r="F870" t="s">
        <v>77</v>
      </c>
      <c r="G870" t="s">
        <v>78</v>
      </c>
      <c r="H870">
        <v>2</v>
      </c>
      <c r="I870">
        <v>280000</v>
      </c>
      <c r="J870" t="s">
        <v>20</v>
      </c>
      <c r="K870" t="s">
        <v>41</v>
      </c>
      <c r="L870">
        <v>25</v>
      </c>
      <c r="M870" t="s">
        <v>22</v>
      </c>
      <c r="N870" t="s">
        <v>2679</v>
      </c>
    </row>
    <row r="871" spans="1:14" x14ac:dyDescent="0.35">
      <c r="A871" t="s">
        <v>2680</v>
      </c>
      <c r="B871" t="s">
        <v>2681</v>
      </c>
      <c r="C871" s="1">
        <v>45498</v>
      </c>
      <c r="D871" t="s">
        <v>66</v>
      </c>
      <c r="E871" t="s">
        <v>17</v>
      </c>
      <c r="F871" t="s">
        <v>67</v>
      </c>
      <c r="G871" t="s">
        <v>128</v>
      </c>
      <c r="H871">
        <v>3</v>
      </c>
      <c r="I871">
        <v>252000</v>
      </c>
      <c r="J871" t="s">
        <v>83</v>
      </c>
      <c r="K871" t="s">
        <v>41</v>
      </c>
      <c r="L871">
        <v>26</v>
      </c>
      <c r="M871" t="s">
        <v>30</v>
      </c>
      <c r="N871" t="s">
        <v>2682</v>
      </c>
    </row>
    <row r="872" spans="1:14" x14ac:dyDescent="0.35">
      <c r="A872" t="s">
        <v>2683</v>
      </c>
      <c r="B872" t="s">
        <v>2684</v>
      </c>
      <c r="C872" s="1">
        <v>45384</v>
      </c>
      <c r="D872" t="s">
        <v>45</v>
      </c>
      <c r="E872" t="s">
        <v>55</v>
      </c>
      <c r="F872" t="s">
        <v>61</v>
      </c>
      <c r="G872" t="s">
        <v>290</v>
      </c>
      <c r="H872">
        <v>1</v>
      </c>
      <c r="I872">
        <v>108000</v>
      </c>
      <c r="J872" t="s">
        <v>83</v>
      </c>
      <c r="K872" t="s">
        <v>21</v>
      </c>
      <c r="L872">
        <v>60</v>
      </c>
      <c r="M872" t="s">
        <v>30</v>
      </c>
      <c r="N872" t="s">
        <v>2685</v>
      </c>
    </row>
    <row r="873" spans="1:14" x14ac:dyDescent="0.35">
      <c r="A873" t="s">
        <v>2686</v>
      </c>
      <c r="B873" t="s">
        <v>2687</v>
      </c>
      <c r="C873" s="1">
        <v>45233</v>
      </c>
      <c r="D873" t="s">
        <v>45</v>
      </c>
      <c r="E873" t="s">
        <v>17</v>
      </c>
      <c r="F873" t="s">
        <v>61</v>
      </c>
      <c r="G873" t="s">
        <v>290</v>
      </c>
      <c r="H873">
        <v>4</v>
      </c>
      <c r="I873">
        <v>360000</v>
      </c>
      <c r="J873" t="s">
        <v>46</v>
      </c>
      <c r="K873" t="s">
        <v>29</v>
      </c>
      <c r="L873">
        <v>52</v>
      </c>
      <c r="M873" t="s">
        <v>22</v>
      </c>
      <c r="N873" t="s">
        <v>2688</v>
      </c>
    </row>
    <row r="874" spans="1:14" x14ac:dyDescent="0.35">
      <c r="A874" t="s">
        <v>2689</v>
      </c>
      <c r="B874" t="s">
        <v>2690</v>
      </c>
      <c r="C874" s="1">
        <v>45269</v>
      </c>
      <c r="D874" t="s">
        <v>72</v>
      </c>
      <c r="E874" t="s">
        <v>34</v>
      </c>
      <c r="F874" t="s">
        <v>163</v>
      </c>
      <c r="G874" t="s">
        <v>164</v>
      </c>
      <c r="H874">
        <v>4</v>
      </c>
      <c r="I874">
        <v>252000</v>
      </c>
      <c r="J874" t="s">
        <v>28</v>
      </c>
      <c r="K874" t="s">
        <v>41</v>
      </c>
      <c r="L874">
        <v>22</v>
      </c>
      <c r="M874" t="s">
        <v>30</v>
      </c>
      <c r="N874" t="s">
        <v>2691</v>
      </c>
    </row>
    <row r="875" spans="1:14" x14ac:dyDescent="0.35">
      <c r="A875" t="s">
        <v>2692</v>
      </c>
      <c r="B875" t="s">
        <v>2693</v>
      </c>
      <c r="C875" s="1">
        <v>45581</v>
      </c>
      <c r="D875" t="s">
        <v>72</v>
      </c>
      <c r="E875" t="s">
        <v>34</v>
      </c>
      <c r="F875" t="s">
        <v>56</v>
      </c>
      <c r="G875" t="s">
        <v>57</v>
      </c>
      <c r="H875">
        <v>1</v>
      </c>
      <c r="I875">
        <v>63000</v>
      </c>
      <c r="J875" t="s">
        <v>108</v>
      </c>
      <c r="K875" t="s">
        <v>41</v>
      </c>
      <c r="L875">
        <v>44</v>
      </c>
      <c r="M875" t="s">
        <v>22</v>
      </c>
      <c r="N875" t="s">
        <v>2694</v>
      </c>
    </row>
    <row r="876" spans="1:14" x14ac:dyDescent="0.35">
      <c r="A876" t="s">
        <v>2695</v>
      </c>
      <c r="B876" t="s">
        <v>2696</v>
      </c>
      <c r="C876" s="1">
        <v>45228</v>
      </c>
      <c r="D876" t="s">
        <v>66</v>
      </c>
      <c r="E876" t="s">
        <v>34</v>
      </c>
      <c r="F876" t="s">
        <v>56</v>
      </c>
      <c r="G876" t="s">
        <v>152</v>
      </c>
      <c r="H876">
        <v>1</v>
      </c>
      <c r="I876">
        <v>84000</v>
      </c>
      <c r="J876" t="s">
        <v>83</v>
      </c>
      <c r="K876" t="s">
        <v>41</v>
      </c>
      <c r="L876">
        <v>54</v>
      </c>
      <c r="M876" t="s">
        <v>22</v>
      </c>
      <c r="N876" t="s">
        <v>2697</v>
      </c>
    </row>
    <row r="877" spans="1:14" x14ac:dyDescent="0.35">
      <c r="A877" t="s">
        <v>2698</v>
      </c>
      <c r="B877" t="s">
        <v>2699</v>
      </c>
      <c r="C877" s="1">
        <v>45507</v>
      </c>
      <c r="D877" t="s">
        <v>72</v>
      </c>
      <c r="E877" t="s">
        <v>34</v>
      </c>
      <c r="F877" t="s">
        <v>39</v>
      </c>
      <c r="G877" t="s">
        <v>393</v>
      </c>
      <c r="H877">
        <v>5</v>
      </c>
      <c r="I877">
        <v>315000</v>
      </c>
      <c r="J877" t="s">
        <v>46</v>
      </c>
      <c r="K877" t="s">
        <v>41</v>
      </c>
      <c r="L877">
        <v>41</v>
      </c>
      <c r="M877" t="s">
        <v>22</v>
      </c>
      <c r="N877" t="s">
        <v>2700</v>
      </c>
    </row>
    <row r="878" spans="1:14" x14ac:dyDescent="0.35">
      <c r="A878" t="s">
        <v>2701</v>
      </c>
      <c r="B878" t="s">
        <v>2702</v>
      </c>
      <c r="C878" s="1">
        <v>45091</v>
      </c>
      <c r="D878" t="s">
        <v>16</v>
      </c>
      <c r="E878" t="s">
        <v>17</v>
      </c>
      <c r="F878" t="s">
        <v>61</v>
      </c>
      <c r="G878" t="s">
        <v>62</v>
      </c>
      <c r="H878">
        <v>2</v>
      </c>
      <c r="I878">
        <v>200000</v>
      </c>
      <c r="J878" t="s">
        <v>20</v>
      </c>
      <c r="K878" t="s">
        <v>29</v>
      </c>
      <c r="L878">
        <v>46</v>
      </c>
      <c r="M878" t="s">
        <v>22</v>
      </c>
      <c r="N878" t="s">
        <v>2703</v>
      </c>
    </row>
    <row r="879" spans="1:14" x14ac:dyDescent="0.35">
      <c r="A879" t="s">
        <v>2704</v>
      </c>
      <c r="B879" t="s">
        <v>2705</v>
      </c>
      <c r="C879" s="1">
        <v>45703</v>
      </c>
      <c r="D879" t="s">
        <v>66</v>
      </c>
      <c r="E879" t="s">
        <v>55</v>
      </c>
      <c r="F879" t="s">
        <v>50</v>
      </c>
      <c r="G879" t="s">
        <v>148</v>
      </c>
      <c r="H879">
        <v>1</v>
      </c>
      <c r="I879">
        <v>84000</v>
      </c>
      <c r="J879" t="s">
        <v>46</v>
      </c>
      <c r="K879" t="s">
        <v>41</v>
      </c>
      <c r="L879">
        <v>8</v>
      </c>
      <c r="M879" t="s">
        <v>22</v>
      </c>
      <c r="N879" t="s">
        <v>2706</v>
      </c>
    </row>
    <row r="880" spans="1:14" x14ac:dyDescent="0.35">
      <c r="A880" t="s">
        <v>2707</v>
      </c>
      <c r="B880" t="s">
        <v>2708</v>
      </c>
      <c r="C880" s="1">
        <v>45363</v>
      </c>
      <c r="D880" t="s">
        <v>16</v>
      </c>
      <c r="E880" t="s">
        <v>34</v>
      </c>
      <c r="F880" t="s">
        <v>18</v>
      </c>
      <c r="G880" t="s">
        <v>297</v>
      </c>
      <c r="H880">
        <v>2</v>
      </c>
      <c r="I880">
        <v>280000</v>
      </c>
      <c r="J880" t="s">
        <v>108</v>
      </c>
      <c r="K880" t="s">
        <v>41</v>
      </c>
      <c r="L880">
        <v>16</v>
      </c>
      <c r="M880" t="s">
        <v>30</v>
      </c>
      <c r="N880" t="s">
        <v>2709</v>
      </c>
    </row>
    <row r="881" spans="1:14" x14ac:dyDescent="0.35">
      <c r="A881" t="s">
        <v>2710</v>
      </c>
      <c r="B881" t="s">
        <v>2711</v>
      </c>
      <c r="C881" s="1">
        <v>45499</v>
      </c>
      <c r="D881" t="s">
        <v>66</v>
      </c>
      <c r="E881" t="s">
        <v>34</v>
      </c>
      <c r="F881" t="s">
        <v>163</v>
      </c>
      <c r="G881" t="s">
        <v>282</v>
      </c>
      <c r="H881">
        <v>3</v>
      </c>
      <c r="I881">
        <v>216000</v>
      </c>
      <c r="J881" t="s">
        <v>83</v>
      </c>
      <c r="K881" t="s">
        <v>21</v>
      </c>
      <c r="L881">
        <v>47</v>
      </c>
      <c r="M881" t="s">
        <v>30</v>
      </c>
      <c r="N881" t="s">
        <v>2712</v>
      </c>
    </row>
    <row r="882" spans="1:14" x14ac:dyDescent="0.35">
      <c r="A882" t="s">
        <v>2713</v>
      </c>
      <c r="B882" t="s">
        <v>2714</v>
      </c>
      <c r="C882" s="1">
        <v>45774</v>
      </c>
      <c r="D882" t="s">
        <v>16</v>
      </c>
      <c r="E882" t="s">
        <v>55</v>
      </c>
      <c r="F882" t="s">
        <v>77</v>
      </c>
      <c r="G882" t="s">
        <v>78</v>
      </c>
      <c r="H882">
        <v>4</v>
      </c>
      <c r="I882">
        <v>560000</v>
      </c>
      <c r="J882" t="s">
        <v>83</v>
      </c>
      <c r="K882" t="s">
        <v>41</v>
      </c>
      <c r="L882">
        <v>43</v>
      </c>
      <c r="M882" t="s">
        <v>22</v>
      </c>
      <c r="N882" t="s">
        <v>2715</v>
      </c>
    </row>
    <row r="883" spans="1:14" x14ac:dyDescent="0.35">
      <c r="A883" t="s">
        <v>2716</v>
      </c>
      <c r="B883" t="s">
        <v>2717</v>
      </c>
      <c r="C883" s="1">
        <v>45338</v>
      </c>
      <c r="D883" t="s">
        <v>66</v>
      </c>
      <c r="E883" t="s">
        <v>34</v>
      </c>
      <c r="F883" t="s">
        <v>61</v>
      </c>
      <c r="G883" t="s">
        <v>62</v>
      </c>
      <c r="H883">
        <v>4</v>
      </c>
      <c r="I883">
        <v>240000</v>
      </c>
      <c r="J883" t="s">
        <v>108</v>
      </c>
      <c r="K883" t="s">
        <v>29</v>
      </c>
      <c r="L883">
        <v>27</v>
      </c>
      <c r="M883" t="s">
        <v>22</v>
      </c>
      <c r="N883" t="s">
        <v>2718</v>
      </c>
    </row>
    <row r="884" spans="1:14" x14ac:dyDescent="0.35">
      <c r="A884" t="s">
        <v>2719</v>
      </c>
      <c r="B884" t="s">
        <v>2720</v>
      </c>
      <c r="C884" s="1">
        <v>45070</v>
      </c>
      <c r="D884" t="s">
        <v>72</v>
      </c>
      <c r="E884" t="s">
        <v>17</v>
      </c>
      <c r="F884" t="s">
        <v>77</v>
      </c>
      <c r="G884" t="s">
        <v>168</v>
      </c>
      <c r="H884">
        <v>4</v>
      </c>
      <c r="I884">
        <v>216000</v>
      </c>
      <c r="J884" t="s">
        <v>83</v>
      </c>
      <c r="K884" t="s">
        <v>21</v>
      </c>
      <c r="L884">
        <v>15</v>
      </c>
      <c r="M884" t="s">
        <v>22</v>
      </c>
      <c r="N884" t="s">
        <v>2721</v>
      </c>
    </row>
    <row r="885" spans="1:14" x14ac:dyDescent="0.35">
      <c r="A885" t="s">
        <v>2722</v>
      </c>
      <c r="B885" t="s">
        <v>2723</v>
      </c>
      <c r="C885" s="1">
        <v>45733</v>
      </c>
      <c r="D885" t="s">
        <v>72</v>
      </c>
      <c r="E885" t="s">
        <v>55</v>
      </c>
      <c r="F885" t="s">
        <v>252</v>
      </c>
      <c r="G885" t="s">
        <v>253</v>
      </c>
      <c r="H885">
        <v>2</v>
      </c>
      <c r="I885">
        <v>90000</v>
      </c>
      <c r="J885" t="s">
        <v>46</v>
      </c>
      <c r="K885" t="s">
        <v>29</v>
      </c>
      <c r="L885">
        <v>45</v>
      </c>
      <c r="M885" t="s">
        <v>22</v>
      </c>
      <c r="N885" t="s">
        <v>2724</v>
      </c>
    </row>
    <row r="886" spans="1:14" x14ac:dyDescent="0.35">
      <c r="A886" t="s">
        <v>2725</v>
      </c>
      <c r="B886" t="s">
        <v>2726</v>
      </c>
      <c r="C886" s="1">
        <v>45645</v>
      </c>
      <c r="D886" t="s">
        <v>45</v>
      </c>
      <c r="E886" t="s">
        <v>34</v>
      </c>
      <c r="F886" t="s">
        <v>26</v>
      </c>
      <c r="G886" t="s">
        <v>221</v>
      </c>
      <c r="H886">
        <v>1</v>
      </c>
      <c r="I886">
        <v>90000</v>
      </c>
      <c r="J886" t="s">
        <v>83</v>
      </c>
      <c r="K886" t="s">
        <v>29</v>
      </c>
      <c r="L886">
        <v>23</v>
      </c>
      <c r="M886" t="s">
        <v>22</v>
      </c>
      <c r="N886" t="s">
        <v>2727</v>
      </c>
    </row>
    <row r="887" spans="1:14" x14ac:dyDescent="0.35">
      <c r="A887" t="s">
        <v>2728</v>
      </c>
      <c r="B887" t="s">
        <v>2729</v>
      </c>
      <c r="C887" s="1">
        <v>45127</v>
      </c>
      <c r="D887" t="s">
        <v>45</v>
      </c>
      <c r="E887" t="s">
        <v>34</v>
      </c>
      <c r="F887" t="s">
        <v>26</v>
      </c>
      <c r="G887" t="s">
        <v>221</v>
      </c>
      <c r="H887">
        <v>1</v>
      </c>
      <c r="I887">
        <v>126000</v>
      </c>
      <c r="J887" t="s">
        <v>83</v>
      </c>
      <c r="K887" t="s">
        <v>41</v>
      </c>
      <c r="L887">
        <v>44</v>
      </c>
      <c r="M887" t="s">
        <v>22</v>
      </c>
      <c r="N887" t="s">
        <v>2730</v>
      </c>
    </row>
    <row r="888" spans="1:14" x14ac:dyDescent="0.35">
      <c r="A888" t="s">
        <v>2731</v>
      </c>
      <c r="B888" t="s">
        <v>2732</v>
      </c>
      <c r="C888" s="1">
        <v>45405</v>
      </c>
      <c r="D888" t="s">
        <v>45</v>
      </c>
      <c r="E888" t="s">
        <v>17</v>
      </c>
      <c r="F888" t="s">
        <v>26</v>
      </c>
      <c r="G888" t="s">
        <v>35</v>
      </c>
      <c r="H888">
        <v>4</v>
      </c>
      <c r="I888">
        <v>432000</v>
      </c>
      <c r="J888" t="s">
        <v>28</v>
      </c>
      <c r="K888" t="s">
        <v>21</v>
      </c>
      <c r="L888">
        <v>29</v>
      </c>
      <c r="M888" t="s">
        <v>30</v>
      </c>
      <c r="N888" t="s">
        <v>2733</v>
      </c>
    </row>
    <row r="889" spans="1:14" x14ac:dyDescent="0.35">
      <c r="A889" t="s">
        <v>2734</v>
      </c>
      <c r="B889" t="s">
        <v>2735</v>
      </c>
      <c r="C889" s="1">
        <v>45604</v>
      </c>
      <c r="D889" t="s">
        <v>45</v>
      </c>
      <c r="E889" t="s">
        <v>34</v>
      </c>
      <c r="F889" t="s">
        <v>50</v>
      </c>
      <c r="G889" t="s">
        <v>107</v>
      </c>
      <c r="H889">
        <v>3</v>
      </c>
      <c r="I889">
        <v>378000</v>
      </c>
      <c r="J889" t="s">
        <v>83</v>
      </c>
      <c r="K889" t="s">
        <v>41</v>
      </c>
      <c r="L889">
        <v>27</v>
      </c>
      <c r="M889" t="s">
        <v>30</v>
      </c>
      <c r="N889" t="s">
        <v>2736</v>
      </c>
    </row>
    <row r="890" spans="1:14" x14ac:dyDescent="0.35">
      <c r="A890" t="s">
        <v>2737</v>
      </c>
      <c r="B890" t="s">
        <v>2738</v>
      </c>
      <c r="C890" s="1">
        <v>45233</v>
      </c>
      <c r="D890" t="s">
        <v>16</v>
      </c>
      <c r="E890" t="s">
        <v>55</v>
      </c>
      <c r="F890" t="s">
        <v>163</v>
      </c>
      <c r="G890" t="s">
        <v>214</v>
      </c>
      <c r="H890">
        <v>2</v>
      </c>
      <c r="I890">
        <v>280000</v>
      </c>
      <c r="J890" t="s">
        <v>46</v>
      </c>
      <c r="K890" t="s">
        <v>41</v>
      </c>
      <c r="L890">
        <v>43</v>
      </c>
      <c r="M890" t="s">
        <v>30</v>
      </c>
      <c r="N890" t="s">
        <v>2739</v>
      </c>
    </row>
    <row r="891" spans="1:14" x14ac:dyDescent="0.35">
      <c r="A891" t="s">
        <v>2740</v>
      </c>
      <c r="B891" t="s">
        <v>2741</v>
      </c>
      <c r="C891" s="1">
        <v>45365</v>
      </c>
      <c r="D891" t="s">
        <v>66</v>
      </c>
      <c r="E891" t="s">
        <v>34</v>
      </c>
      <c r="F891" t="s">
        <v>163</v>
      </c>
      <c r="G891" t="s">
        <v>164</v>
      </c>
      <c r="H891">
        <v>2</v>
      </c>
      <c r="I891">
        <v>168000</v>
      </c>
      <c r="J891" t="s">
        <v>83</v>
      </c>
      <c r="K891" t="s">
        <v>41</v>
      </c>
      <c r="L891">
        <v>15</v>
      </c>
      <c r="M891" t="s">
        <v>22</v>
      </c>
      <c r="N891" t="s">
        <v>2742</v>
      </c>
    </row>
    <row r="892" spans="1:14" x14ac:dyDescent="0.35">
      <c r="A892" t="s">
        <v>2743</v>
      </c>
      <c r="B892" t="s">
        <v>2744</v>
      </c>
      <c r="C892" s="1">
        <v>45268</v>
      </c>
      <c r="D892" t="s">
        <v>72</v>
      </c>
      <c r="E892" t="s">
        <v>17</v>
      </c>
      <c r="F892" t="s">
        <v>67</v>
      </c>
      <c r="G892" t="s">
        <v>120</v>
      </c>
      <c r="H892">
        <v>2</v>
      </c>
      <c r="I892">
        <v>126000</v>
      </c>
      <c r="J892" t="s">
        <v>20</v>
      </c>
      <c r="K892" t="s">
        <v>41</v>
      </c>
      <c r="L892">
        <v>54</v>
      </c>
      <c r="M892" t="s">
        <v>30</v>
      </c>
      <c r="N892" t="s">
        <v>2745</v>
      </c>
    </row>
    <row r="893" spans="1:14" x14ac:dyDescent="0.35">
      <c r="A893" t="s">
        <v>2746</v>
      </c>
      <c r="B893" t="s">
        <v>2747</v>
      </c>
      <c r="C893" s="1">
        <v>45404</v>
      </c>
      <c r="D893" t="s">
        <v>72</v>
      </c>
      <c r="E893" t="s">
        <v>34</v>
      </c>
      <c r="F893" t="s">
        <v>67</v>
      </c>
      <c r="G893" t="s">
        <v>112</v>
      </c>
      <c r="H893">
        <v>3</v>
      </c>
      <c r="I893">
        <v>135000</v>
      </c>
      <c r="J893" t="s">
        <v>83</v>
      </c>
      <c r="K893" t="s">
        <v>29</v>
      </c>
      <c r="L893">
        <v>47</v>
      </c>
      <c r="M893" t="s">
        <v>22</v>
      </c>
      <c r="N893" t="s">
        <v>2748</v>
      </c>
    </row>
    <row r="894" spans="1:14" x14ac:dyDescent="0.35">
      <c r="A894" t="s">
        <v>2749</v>
      </c>
      <c r="B894" t="s">
        <v>2750</v>
      </c>
      <c r="C894" s="1">
        <v>45400</v>
      </c>
      <c r="D894" t="s">
        <v>72</v>
      </c>
      <c r="E894" t="s">
        <v>55</v>
      </c>
      <c r="F894" t="s">
        <v>50</v>
      </c>
      <c r="G894" t="s">
        <v>107</v>
      </c>
      <c r="H894">
        <v>1</v>
      </c>
      <c r="I894">
        <v>54000</v>
      </c>
      <c r="J894" t="s">
        <v>108</v>
      </c>
      <c r="K894" t="s">
        <v>21</v>
      </c>
      <c r="L894">
        <v>55</v>
      </c>
      <c r="M894" t="s">
        <v>30</v>
      </c>
      <c r="N894" t="s">
        <v>2751</v>
      </c>
    </row>
    <row r="895" spans="1:14" x14ac:dyDescent="0.35">
      <c r="A895" t="s">
        <v>2752</v>
      </c>
      <c r="B895" t="s">
        <v>2753</v>
      </c>
      <c r="C895" s="1">
        <v>45157</v>
      </c>
      <c r="D895" t="s">
        <v>16</v>
      </c>
      <c r="E895" t="s">
        <v>55</v>
      </c>
      <c r="F895" t="s">
        <v>61</v>
      </c>
      <c r="G895" t="s">
        <v>156</v>
      </c>
      <c r="H895">
        <v>3</v>
      </c>
      <c r="I895">
        <v>300000</v>
      </c>
      <c r="J895" t="s">
        <v>46</v>
      </c>
      <c r="K895" t="s">
        <v>29</v>
      </c>
      <c r="L895">
        <v>16</v>
      </c>
      <c r="M895" t="s">
        <v>30</v>
      </c>
      <c r="N895" t="s">
        <v>2754</v>
      </c>
    </row>
    <row r="896" spans="1:14" x14ac:dyDescent="0.35">
      <c r="A896" t="s">
        <v>2755</v>
      </c>
      <c r="B896" t="s">
        <v>2756</v>
      </c>
      <c r="C896" s="1">
        <v>45293</v>
      </c>
      <c r="D896" t="s">
        <v>66</v>
      </c>
      <c r="E896" t="s">
        <v>17</v>
      </c>
      <c r="F896" t="s">
        <v>67</v>
      </c>
      <c r="G896" t="s">
        <v>448</v>
      </c>
      <c r="H896">
        <v>5</v>
      </c>
      <c r="I896">
        <v>300000</v>
      </c>
      <c r="J896" t="s">
        <v>46</v>
      </c>
      <c r="K896" t="s">
        <v>29</v>
      </c>
      <c r="L896">
        <v>37</v>
      </c>
      <c r="M896" t="s">
        <v>22</v>
      </c>
      <c r="N896" t="s">
        <v>2757</v>
      </c>
    </row>
    <row r="897" spans="1:14" x14ac:dyDescent="0.35">
      <c r="A897" t="s">
        <v>2758</v>
      </c>
      <c r="B897" t="s">
        <v>2759</v>
      </c>
      <c r="C897" s="1">
        <v>45581</v>
      </c>
      <c r="D897" t="s">
        <v>72</v>
      </c>
      <c r="E897" t="s">
        <v>17</v>
      </c>
      <c r="F897" t="s">
        <v>67</v>
      </c>
      <c r="G897" t="s">
        <v>68</v>
      </c>
      <c r="H897">
        <v>3</v>
      </c>
      <c r="I897">
        <v>162000</v>
      </c>
      <c r="J897" t="s">
        <v>83</v>
      </c>
      <c r="K897" t="s">
        <v>21</v>
      </c>
      <c r="L897">
        <v>22</v>
      </c>
      <c r="M897" t="s">
        <v>22</v>
      </c>
      <c r="N897" t="s">
        <v>2760</v>
      </c>
    </row>
    <row r="898" spans="1:14" x14ac:dyDescent="0.35">
      <c r="A898" t="s">
        <v>2761</v>
      </c>
      <c r="B898" t="s">
        <v>2762</v>
      </c>
      <c r="C898" s="1">
        <v>45404</v>
      </c>
      <c r="D898" t="s">
        <v>66</v>
      </c>
      <c r="E898" t="s">
        <v>34</v>
      </c>
      <c r="F898" t="s">
        <v>26</v>
      </c>
      <c r="G898" t="s">
        <v>35</v>
      </c>
      <c r="H898">
        <v>1</v>
      </c>
      <c r="I898">
        <v>84000</v>
      </c>
      <c r="J898" t="s">
        <v>108</v>
      </c>
      <c r="K898" t="s">
        <v>41</v>
      </c>
      <c r="L898">
        <v>30</v>
      </c>
      <c r="M898" t="s">
        <v>22</v>
      </c>
      <c r="N898" t="s">
        <v>2763</v>
      </c>
    </row>
    <row r="899" spans="1:14" x14ac:dyDescent="0.35">
      <c r="A899" t="s">
        <v>2764</v>
      </c>
      <c r="B899" t="s">
        <v>2765</v>
      </c>
      <c r="C899" s="1">
        <v>45680</v>
      </c>
      <c r="D899" t="s">
        <v>72</v>
      </c>
      <c r="E899" t="s">
        <v>55</v>
      </c>
      <c r="F899" t="s">
        <v>18</v>
      </c>
      <c r="G899" t="s">
        <v>452</v>
      </c>
      <c r="H899">
        <v>3</v>
      </c>
      <c r="I899">
        <v>189000</v>
      </c>
      <c r="J899" t="s">
        <v>20</v>
      </c>
      <c r="K899" t="s">
        <v>41</v>
      </c>
      <c r="L899">
        <v>34</v>
      </c>
      <c r="M899" t="s">
        <v>30</v>
      </c>
      <c r="N899" t="s">
        <v>2766</v>
      </c>
    </row>
    <row r="900" spans="1:14" x14ac:dyDescent="0.35">
      <c r="A900" t="s">
        <v>2767</v>
      </c>
      <c r="B900" t="s">
        <v>2768</v>
      </c>
      <c r="C900" s="1">
        <v>45105</v>
      </c>
      <c r="D900" t="s">
        <v>66</v>
      </c>
      <c r="E900" t="s">
        <v>55</v>
      </c>
      <c r="F900" t="s">
        <v>77</v>
      </c>
      <c r="G900" t="s">
        <v>91</v>
      </c>
      <c r="H900">
        <v>1</v>
      </c>
      <c r="I900">
        <v>84000</v>
      </c>
      <c r="J900" t="s">
        <v>83</v>
      </c>
      <c r="K900" t="s">
        <v>41</v>
      </c>
      <c r="L900">
        <v>22</v>
      </c>
      <c r="M900" t="s">
        <v>30</v>
      </c>
      <c r="N900" t="s">
        <v>2769</v>
      </c>
    </row>
    <row r="901" spans="1:14" x14ac:dyDescent="0.35">
      <c r="A901" t="s">
        <v>2770</v>
      </c>
      <c r="B901" t="s">
        <v>2771</v>
      </c>
      <c r="C901" s="1">
        <v>45442</v>
      </c>
      <c r="D901" t="s">
        <v>16</v>
      </c>
      <c r="E901" t="s">
        <v>17</v>
      </c>
      <c r="F901" t="s">
        <v>252</v>
      </c>
      <c r="G901" t="s">
        <v>257</v>
      </c>
      <c r="H901">
        <v>3</v>
      </c>
      <c r="I901">
        <v>420000</v>
      </c>
      <c r="J901" t="s">
        <v>108</v>
      </c>
      <c r="K901" t="s">
        <v>41</v>
      </c>
      <c r="L901">
        <v>26</v>
      </c>
      <c r="M901" t="s">
        <v>22</v>
      </c>
      <c r="N901" t="s">
        <v>2772</v>
      </c>
    </row>
    <row r="902" spans="1:14" x14ac:dyDescent="0.35">
      <c r="A902" t="s">
        <v>2773</v>
      </c>
      <c r="B902" t="s">
        <v>2774</v>
      </c>
      <c r="C902" s="1">
        <v>45662</v>
      </c>
      <c r="D902" t="s">
        <v>72</v>
      </c>
      <c r="E902" t="s">
        <v>17</v>
      </c>
      <c r="F902" t="s">
        <v>252</v>
      </c>
      <c r="G902" t="s">
        <v>253</v>
      </c>
      <c r="H902">
        <v>2</v>
      </c>
      <c r="I902">
        <v>126000</v>
      </c>
      <c r="J902" t="s">
        <v>28</v>
      </c>
      <c r="K902" t="s">
        <v>41</v>
      </c>
      <c r="L902">
        <v>24</v>
      </c>
      <c r="M902" t="s">
        <v>22</v>
      </c>
      <c r="N902" t="s">
        <v>2775</v>
      </c>
    </row>
    <row r="903" spans="1:14" x14ac:dyDescent="0.35">
      <c r="A903" t="s">
        <v>2776</v>
      </c>
      <c r="B903" t="s">
        <v>2777</v>
      </c>
      <c r="C903" s="1">
        <v>45063</v>
      </c>
      <c r="D903" t="s">
        <v>66</v>
      </c>
      <c r="E903" t="s">
        <v>55</v>
      </c>
      <c r="F903" t="s">
        <v>67</v>
      </c>
      <c r="G903" t="s">
        <v>112</v>
      </c>
      <c r="H903">
        <v>5</v>
      </c>
      <c r="I903">
        <v>360000</v>
      </c>
      <c r="J903" t="s">
        <v>108</v>
      </c>
      <c r="K903" t="s">
        <v>21</v>
      </c>
      <c r="L903">
        <v>36</v>
      </c>
      <c r="M903" t="s">
        <v>22</v>
      </c>
      <c r="N903" t="s">
        <v>2778</v>
      </c>
    </row>
    <row r="904" spans="1:14" x14ac:dyDescent="0.35">
      <c r="A904" t="s">
        <v>2779</v>
      </c>
      <c r="B904" t="s">
        <v>2780</v>
      </c>
      <c r="C904" s="1">
        <v>45693</v>
      </c>
      <c r="D904" t="s">
        <v>66</v>
      </c>
      <c r="E904" t="s">
        <v>34</v>
      </c>
      <c r="F904" t="s">
        <v>67</v>
      </c>
      <c r="G904" t="s">
        <v>68</v>
      </c>
      <c r="H904">
        <v>1</v>
      </c>
      <c r="I904">
        <v>72000</v>
      </c>
      <c r="J904" t="s">
        <v>28</v>
      </c>
      <c r="K904" t="s">
        <v>21</v>
      </c>
      <c r="L904">
        <v>19</v>
      </c>
      <c r="M904" t="s">
        <v>30</v>
      </c>
      <c r="N904" t="s">
        <v>570</v>
      </c>
    </row>
    <row r="905" spans="1:14" x14ac:dyDescent="0.35">
      <c r="A905" t="s">
        <v>2781</v>
      </c>
      <c r="B905" t="s">
        <v>2782</v>
      </c>
      <c r="C905" s="1">
        <v>45250</v>
      </c>
      <c r="D905" t="s">
        <v>45</v>
      </c>
      <c r="E905" t="s">
        <v>17</v>
      </c>
      <c r="F905" t="s">
        <v>61</v>
      </c>
      <c r="G905" t="s">
        <v>290</v>
      </c>
      <c r="H905">
        <v>4</v>
      </c>
      <c r="I905">
        <v>504000</v>
      </c>
      <c r="J905" t="s">
        <v>46</v>
      </c>
      <c r="K905" t="s">
        <v>41</v>
      </c>
      <c r="L905">
        <v>18</v>
      </c>
      <c r="M905" t="s">
        <v>22</v>
      </c>
      <c r="N905" t="s">
        <v>2783</v>
      </c>
    </row>
    <row r="906" spans="1:14" x14ac:dyDescent="0.35">
      <c r="A906" t="s">
        <v>2784</v>
      </c>
      <c r="B906" t="s">
        <v>2785</v>
      </c>
      <c r="C906" s="1">
        <v>45458</v>
      </c>
      <c r="D906" t="s">
        <v>45</v>
      </c>
      <c r="E906" t="s">
        <v>17</v>
      </c>
      <c r="F906" t="s">
        <v>252</v>
      </c>
      <c r="G906" t="s">
        <v>504</v>
      </c>
      <c r="H906">
        <v>4</v>
      </c>
      <c r="I906">
        <v>432000</v>
      </c>
      <c r="J906" t="s">
        <v>46</v>
      </c>
      <c r="K906" t="s">
        <v>21</v>
      </c>
      <c r="L906">
        <v>14</v>
      </c>
      <c r="M906" t="s">
        <v>22</v>
      </c>
      <c r="N906" t="s">
        <v>2786</v>
      </c>
    </row>
    <row r="907" spans="1:14" x14ac:dyDescent="0.35">
      <c r="A907" t="s">
        <v>2787</v>
      </c>
      <c r="B907" t="s">
        <v>2788</v>
      </c>
      <c r="C907" s="1">
        <v>45683</v>
      </c>
      <c r="D907" t="s">
        <v>16</v>
      </c>
      <c r="E907" t="s">
        <v>34</v>
      </c>
      <c r="F907" t="s">
        <v>56</v>
      </c>
      <c r="G907" t="s">
        <v>152</v>
      </c>
      <c r="H907">
        <v>3</v>
      </c>
      <c r="I907">
        <v>300000</v>
      </c>
      <c r="J907" t="s">
        <v>46</v>
      </c>
      <c r="K907" t="s">
        <v>29</v>
      </c>
      <c r="L907">
        <v>8</v>
      </c>
      <c r="M907" t="s">
        <v>30</v>
      </c>
      <c r="N907" t="s">
        <v>2789</v>
      </c>
    </row>
    <row r="908" spans="1:14" x14ac:dyDescent="0.35">
      <c r="A908" t="s">
        <v>2790</v>
      </c>
      <c r="B908" t="s">
        <v>2791</v>
      </c>
      <c r="C908" s="1">
        <v>45723</v>
      </c>
      <c r="D908" t="s">
        <v>45</v>
      </c>
      <c r="E908" t="s">
        <v>55</v>
      </c>
      <c r="F908" t="s">
        <v>163</v>
      </c>
      <c r="G908" t="s">
        <v>164</v>
      </c>
      <c r="H908">
        <v>2</v>
      </c>
      <c r="I908">
        <v>252000</v>
      </c>
      <c r="J908" t="s">
        <v>46</v>
      </c>
      <c r="K908" t="s">
        <v>41</v>
      </c>
      <c r="L908">
        <v>36</v>
      </c>
      <c r="M908" t="s">
        <v>30</v>
      </c>
      <c r="N908" t="s">
        <v>2792</v>
      </c>
    </row>
    <row r="909" spans="1:14" x14ac:dyDescent="0.35">
      <c r="A909" t="s">
        <v>2793</v>
      </c>
      <c r="B909" t="s">
        <v>2794</v>
      </c>
      <c r="C909" s="1">
        <v>45443</v>
      </c>
      <c r="D909" t="s">
        <v>45</v>
      </c>
      <c r="E909" t="s">
        <v>34</v>
      </c>
      <c r="F909" t="s">
        <v>163</v>
      </c>
      <c r="G909" t="s">
        <v>214</v>
      </c>
      <c r="H909">
        <v>1</v>
      </c>
      <c r="I909">
        <v>90000</v>
      </c>
      <c r="J909" t="s">
        <v>28</v>
      </c>
      <c r="K909" t="s">
        <v>29</v>
      </c>
      <c r="L909">
        <v>9</v>
      </c>
      <c r="M909" t="s">
        <v>22</v>
      </c>
      <c r="N909" t="s">
        <v>2795</v>
      </c>
    </row>
    <row r="910" spans="1:14" x14ac:dyDescent="0.35">
      <c r="A910" t="s">
        <v>2796</v>
      </c>
      <c r="B910" t="s">
        <v>2797</v>
      </c>
      <c r="C910" s="1">
        <v>45582</v>
      </c>
      <c r="D910" t="s">
        <v>16</v>
      </c>
      <c r="E910" t="s">
        <v>34</v>
      </c>
      <c r="F910" t="s">
        <v>50</v>
      </c>
      <c r="G910" t="s">
        <v>132</v>
      </c>
      <c r="H910">
        <v>2</v>
      </c>
      <c r="I910">
        <v>280000</v>
      </c>
      <c r="J910" t="s">
        <v>108</v>
      </c>
      <c r="K910" t="s">
        <v>41</v>
      </c>
      <c r="L910">
        <v>44</v>
      </c>
      <c r="M910" t="s">
        <v>22</v>
      </c>
      <c r="N910" t="s">
        <v>690</v>
      </c>
    </row>
    <row r="911" spans="1:14" x14ac:dyDescent="0.35">
      <c r="A911" t="s">
        <v>2798</v>
      </c>
      <c r="B911" t="s">
        <v>2799</v>
      </c>
      <c r="C911" s="1">
        <v>45740</v>
      </c>
      <c r="D911" t="s">
        <v>72</v>
      </c>
      <c r="E911" t="s">
        <v>34</v>
      </c>
      <c r="F911" t="s">
        <v>163</v>
      </c>
      <c r="G911" t="s">
        <v>201</v>
      </c>
      <c r="H911">
        <v>3</v>
      </c>
      <c r="I911">
        <v>162000</v>
      </c>
      <c r="J911" t="s">
        <v>108</v>
      </c>
      <c r="K911" t="s">
        <v>21</v>
      </c>
      <c r="L911">
        <v>22</v>
      </c>
      <c r="M911" t="s">
        <v>22</v>
      </c>
      <c r="N911" t="s">
        <v>2800</v>
      </c>
    </row>
    <row r="912" spans="1:14" x14ac:dyDescent="0.35">
      <c r="A912" t="s">
        <v>2801</v>
      </c>
      <c r="B912" t="s">
        <v>2802</v>
      </c>
      <c r="C912" s="1">
        <v>45250</v>
      </c>
      <c r="D912" t="s">
        <v>72</v>
      </c>
      <c r="E912" t="s">
        <v>55</v>
      </c>
      <c r="F912" t="s">
        <v>50</v>
      </c>
      <c r="G912" t="s">
        <v>132</v>
      </c>
      <c r="H912">
        <v>3</v>
      </c>
      <c r="I912">
        <v>162000</v>
      </c>
      <c r="J912" t="s">
        <v>20</v>
      </c>
      <c r="K912" t="s">
        <v>21</v>
      </c>
      <c r="L912">
        <v>38</v>
      </c>
      <c r="M912" t="s">
        <v>22</v>
      </c>
      <c r="N912" t="s">
        <v>2803</v>
      </c>
    </row>
    <row r="913" spans="1:14" x14ac:dyDescent="0.35">
      <c r="A913" t="s">
        <v>2804</v>
      </c>
      <c r="B913" t="s">
        <v>2805</v>
      </c>
      <c r="C913" s="1">
        <v>45655</v>
      </c>
      <c r="D913" t="s">
        <v>16</v>
      </c>
      <c r="E913" t="s">
        <v>17</v>
      </c>
      <c r="F913" t="s">
        <v>18</v>
      </c>
      <c r="G913" t="s">
        <v>19</v>
      </c>
      <c r="H913">
        <v>5</v>
      </c>
      <c r="I913">
        <v>600000</v>
      </c>
      <c r="J913" t="s">
        <v>46</v>
      </c>
      <c r="K913" t="s">
        <v>21</v>
      </c>
      <c r="L913">
        <v>55</v>
      </c>
      <c r="M913" t="s">
        <v>22</v>
      </c>
      <c r="N913" t="s">
        <v>2806</v>
      </c>
    </row>
    <row r="914" spans="1:14" x14ac:dyDescent="0.35">
      <c r="A914" t="s">
        <v>2807</v>
      </c>
      <c r="B914" t="s">
        <v>2808</v>
      </c>
      <c r="C914" s="1">
        <v>45547</v>
      </c>
      <c r="D914" t="s">
        <v>16</v>
      </c>
      <c r="E914" t="s">
        <v>17</v>
      </c>
      <c r="F914" t="s">
        <v>67</v>
      </c>
      <c r="G914" t="s">
        <v>112</v>
      </c>
      <c r="H914">
        <v>2</v>
      </c>
      <c r="I914">
        <v>240000</v>
      </c>
      <c r="J914" t="s">
        <v>20</v>
      </c>
      <c r="K914" t="s">
        <v>21</v>
      </c>
      <c r="L914">
        <v>47</v>
      </c>
      <c r="M914" t="s">
        <v>30</v>
      </c>
      <c r="N914" t="s">
        <v>2809</v>
      </c>
    </row>
    <row r="915" spans="1:14" x14ac:dyDescent="0.35">
      <c r="A915" t="s">
        <v>2810</v>
      </c>
      <c r="B915" t="s">
        <v>2811</v>
      </c>
      <c r="C915" s="1">
        <v>45630</v>
      </c>
      <c r="D915" t="s">
        <v>72</v>
      </c>
      <c r="E915" t="s">
        <v>17</v>
      </c>
      <c r="F915" t="s">
        <v>77</v>
      </c>
      <c r="G915" t="s">
        <v>168</v>
      </c>
      <c r="H915">
        <v>3</v>
      </c>
      <c r="I915">
        <v>135000</v>
      </c>
      <c r="J915" t="s">
        <v>28</v>
      </c>
      <c r="K915" t="s">
        <v>29</v>
      </c>
      <c r="L915">
        <v>38</v>
      </c>
      <c r="M915" t="s">
        <v>22</v>
      </c>
      <c r="N915" t="s">
        <v>2812</v>
      </c>
    </row>
    <row r="916" spans="1:14" x14ac:dyDescent="0.35">
      <c r="A916" t="s">
        <v>2813</v>
      </c>
      <c r="B916" t="s">
        <v>2814</v>
      </c>
      <c r="C916" s="1">
        <v>45349</v>
      </c>
      <c r="D916" t="s">
        <v>66</v>
      </c>
      <c r="E916" t="s">
        <v>17</v>
      </c>
      <c r="F916" t="s">
        <v>18</v>
      </c>
      <c r="G916" t="s">
        <v>297</v>
      </c>
      <c r="H916">
        <v>3</v>
      </c>
      <c r="I916">
        <v>216000</v>
      </c>
      <c r="J916" t="s">
        <v>108</v>
      </c>
      <c r="K916" t="s">
        <v>21</v>
      </c>
      <c r="L916">
        <v>58</v>
      </c>
      <c r="M916" t="s">
        <v>30</v>
      </c>
      <c r="N916" t="s">
        <v>2815</v>
      </c>
    </row>
    <row r="917" spans="1:14" x14ac:dyDescent="0.35">
      <c r="A917" t="s">
        <v>2816</v>
      </c>
      <c r="B917" t="s">
        <v>2817</v>
      </c>
      <c r="C917" s="1">
        <v>45241</v>
      </c>
      <c r="D917" t="s">
        <v>72</v>
      </c>
      <c r="E917" t="s">
        <v>34</v>
      </c>
      <c r="F917" t="s">
        <v>50</v>
      </c>
      <c r="G917" t="s">
        <v>132</v>
      </c>
      <c r="H917">
        <v>4</v>
      </c>
      <c r="I917">
        <v>216000</v>
      </c>
      <c r="J917" t="s">
        <v>20</v>
      </c>
      <c r="K917" t="s">
        <v>21</v>
      </c>
      <c r="L917">
        <v>17</v>
      </c>
      <c r="M917" t="s">
        <v>30</v>
      </c>
      <c r="N917" t="s">
        <v>2818</v>
      </c>
    </row>
    <row r="918" spans="1:14" x14ac:dyDescent="0.35">
      <c r="A918" t="s">
        <v>2819</v>
      </c>
      <c r="B918" t="s">
        <v>2820</v>
      </c>
      <c r="C918" s="1">
        <v>45435</v>
      </c>
      <c r="D918" t="s">
        <v>45</v>
      </c>
      <c r="E918" t="s">
        <v>55</v>
      </c>
      <c r="F918" t="s">
        <v>252</v>
      </c>
      <c r="G918" t="s">
        <v>253</v>
      </c>
      <c r="H918">
        <v>2</v>
      </c>
      <c r="I918">
        <v>216000</v>
      </c>
      <c r="J918" t="s">
        <v>83</v>
      </c>
      <c r="K918" t="s">
        <v>21</v>
      </c>
      <c r="L918">
        <v>37</v>
      </c>
      <c r="M918" t="s">
        <v>22</v>
      </c>
      <c r="N918" t="s">
        <v>2821</v>
      </c>
    </row>
    <row r="919" spans="1:14" x14ac:dyDescent="0.35">
      <c r="A919" t="s">
        <v>2822</v>
      </c>
      <c r="B919" t="s">
        <v>2823</v>
      </c>
      <c r="C919" s="1">
        <v>45151</v>
      </c>
      <c r="D919" t="s">
        <v>72</v>
      </c>
      <c r="E919" t="s">
        <v>17</v>
      </c>
      <c r="F919" t="s">
        <v>61</v>
      </c>
      <c r="G919" t="s">
        <v>290</v>
      </c>
      <c r="H919">
        <v>5</v>
      </c>
      <c r="I919">
        <v>225000</v>
      </c>
      <c r="J919" t="s">
        <v>28</v>
      </c>
      <c r="K919" t="s">
        <v>29</v>
      </c>
      <c r="L919">
        <v>38</v>
      </c>
      <c r="M919" t="s">
        <v>30</v>
      </c>
      <c r="N919" t="s">
        <v>2824</v>
      </c>
    </row>
    <row r="920" spans="1:14" x14ac:dyDescent="0.35">
      <c r="A920" t="s">
        <v>2825</v>
      </c>
      <c r="B920" t="s">
        <v>2826</v>
      </c>
      <c r="C920" s="1">
        <v>45123</v>
      </c>
      <c r="D920" t="s">
        <v>72</v>
      </c>
      <c r="E920" t="s">
        <v>55</v>
      </c>
      <c r="F920" t="s">
        <v>39</v>
      </c>
      <c r="G920" t="s">
        <v>82</v>
      </c>
      <c r="H920">
        <v>2</v>
      </c>
      <c r="I920">
        <v>126000</v>
      </c>
      <c r="J920" t="s">
        <v>28</v>
      </c>
      <c r="K920" t="s">
        <v>41</v>
      </c>
      <c r="L920">
        <v>14</v>
      </c>
      <c r="M920" t="s">
        <v>30</v>
      </c>
      <c r="N920" t="s">
        <v>2827</v>
      </c>
    </row>
    <row r="921" spans="1:14" x14ac:dyDescent="0.35">
      <c r="A921" t="s">
        <v>2828</v>
      </c>
      <c r="B921" t="s">
        <v>2829</v>
      </c>
      <c r="C921" s="1">
        <v>45312</v>
      </c>
      <c r="D921" t="s">
        <v>45</v>
      </c>
      <c r="E921" t="s">
        <v>55</v>
      </c>
      <c r="F921" t="s">
        <v>163</v>
      </c>
      <c r="G921" t="s">
        <v>282</v>
      </c>
      <c r="H921">
        <v>3</v>
      </c>
      <c r="I921">
        <v>270000</v>
      </c>
      <c r="J921" t="s">
        <v>83</v>
      </c>
      <c r="K921" t="s">
        <v>29</v>
      </c>
      <c r="L921">
        <v>9</v>
      </c>
      <c r="M921" t="s">
        <v>22</v>
      </c>
      <c r="N921" t="s">
        <v>2830</v>
      </c>
    </row>
    <row r="922" spans="1:14" x14ac:dyDescent="0.35">
      <c r="A922" t="s">
        <v>2831</v>
      </c>
      <c r="B922" t="s">
        <v>2832</v>
      </c>
      <c r="C922" s="1">
        <v>45071</v>
      </c>
      <c r="D922" t="s">
        <v>16</v>
      </c>
      <c r="E922" t="s">
        <v>55</v>
      </c>
      <c r="F922" t="s">
        <v>39</v>
      </c>
      <c r="G922" t="s">
        <v>393</v>
      </c>
      <c r="H922">
        <v>2</v>
      </c>
      <c r="I922">
        <v>240000</v>
      </c>
      <c r="J922" t="s">
        <v>108</v>
      </c>
      <c r="K922" t="s">
        <v>21</v>
      </c>
      <c r="L922">
        <v>24</v>
      </c>
      <c r="M922" t="s">
        <v>22</v>
      </c>
      <c r="N922" t="s">
        <v>2833</v>
      </c>
    </row>
    <row r="923" spans="1:14" x14ac:dyDescent="0.35">
      <c r="A923" t="s">
        <v>2834</v>
      </c>
      <c r="B923" t="s">
        <v>2835</v>
      </c>
      <c r="C923" s="1">
        <v>45647</v>
      </c>
      <c r="D923" t="s">
        <v>45</v>
      </c>
      <c r="E923" t="s">
        <v>34</v>
      </c>
      <c r="F923" t="s">
        <v>77</v>
      </c>
      <c r="G923" t="s">
        <v>168</v>
      </c>
      <c r="H923">
        <v>1</v>
      </c>
      <c r="I923">
        <v>108000</v>
      </c>
      <c r="J923" t="s">
        <v>108</v>
      </c>
      <c r="K923" t="s">
        <v>21</v>
      </c>
      <c r="L923">
        <v>14</v>
      </c>
      <c r="M923" t="s">
        <v>22</v>
      </c>
      <c r="N923" t="s">
        <v>2836</v>
      </c>
    </row>
    <row r="924" spans="1:14" x14ac:dyDescent="0.35">
      <c r="A924" t="s">
        <v>2837</v>
      </c>
      <c r="B924" t="s">
        <v>2838</v>
      </c>
      <c r="C924" s="1">
        <v>45059</v>
      </c>
      <c r="D924" t="s">
        <v>66</v>
      </c>
      <c r="E924" t="s">
        <v>55</v>
      </c>
      <c r="F924" t="s">
        <v>252</v>
      </c>
      <c r="G924" t="s">
        <v>257</v>
      </c>
      <c r="H924">
        <v>5</v>
      </c>
      <c r="I924">
        <v>420000</v>
      </c>
      <c r="J924" t="s">
        <v>20</v>
      </c>
      <c r="K924" t="s">
        <v>41</v>
      </c>
      <c r="L924">
        <v>32</v>
      </c>
      <c r="M924" t="s">
        <v>22</v>
      </c>
      <c r="N924" t="s">
        <v>2839</v>
      </c>
    </row>
    <row r="925" spans="1:14" x14ac:dyDescent="0.35">
      <c r="A925" t="s">
        <v>2840</v>
      </c>
      <c r="B925" t="s">
        <v>2841</v>
      </c>
      <c r="C925" s="1">
        <v>45171</v>
      </c>
      <c r="D925" t="s">
        <v>66</v>
      </c>
      <c r="E925" t="s">
        <v>17</v>
      </c>
      <c r="F925" t="s">
        <v>163</v>
      </c>
      <c r="G925" t="s">
        <v>214</v>
      </c>
      <c r="H925">
        <v>4</v>
      </c>
      <c r="I925">
        <v>288000</v>
      </c>
      <c r="J925" t="s">
        <v>46</v>
      </c>
      <c r="K925" t="s">
        <v>21</v>
      </c>
      <c r="L925">
        <v>19</v>
      </c>
      <c r="M925" t="s">
        <v>30</v>
      </c>
      <c r="N925" t="s">
        <v>1458</v>
      </c>
    </row>
    <row r="926" spans="1:14" x14ac:dyDescent="0.35">
      <c r="A926" t="s">
        <v>2842</v>
      </c>
      <c r="B926" t="s">
        <v>2843</v>
      </c>
      <c r="C926" s="1">
        <v>45596</v>
      </c>
      <c r="D926" t="s">
        <v>66</v>
      </c>
      <c r="E926" t="s">
        <v>34</v>
      </c>
      <c r="F926" t="s">
        <v>39</v>
      </c>
      <c r="G926" t="s">
        <v>188</v>
      </c>
      <c r="H926">
        <v>2</v>
      </c>
      <c r="I926">
        <v>168000</v>
      </c>
      <c r="J926" t="s">
        <v>46</v>
      </c>
      <c r="K926" t="s">
        <v>41</v>
      </c>
      <c r="L926">
        <v>5</v>
      </c>
      <c r="M926" t="s">
        <v>30</v>
      </c>
      <c r="N926" t="s">
        <v>2844</v>
      </c>
    </row>
    <row r="927" spans="1:14" x14ac:dyDescent="0.35">
      <c r="A927" t="s">
        <v>2845</v>
      </c>
      <c r="B927" t="s">
        <v>2846</v>
      </c>
      <c r="C927" s="1">
        <v>45446</v>
      </c>
      <c r="D927" t="s">
        <v>16</v>
      </c>
      <c r="E927" t="s">
        <v>17</v>
      </c>
      <c r="F927" t="s">
        <v>252</v>
      </c>
      <c r="G927" t="s">
        <v>253</v>
      </c>
      <c r="H927">
        <v>1</v>
      </c>
      <c r="I927">
        <v>140000</v>
      </c>
      <c r="J927" t="s">
        <v>108</v>
      </c>
      <c r="K927" t="s">
        <v>41</v>
      </c>
      <c r="L927">
        <v>28</v>
      </c>
      <c r="M927" t="s">
        <v>30</v>
      </c>
      <c r="N927" t="s">
        <v>2847</v>
      </c>
    </row>
    <row r="928" spans="1:14" x14ac:dyDescent="0.35">
      <c r="A928" t="s">
        <v>2848</v>
      </c>
      <c r="B928" t="s">
        <v>2849</v>
      </c>
      <c r="C928" s="1">
        <v>45375</v>
      </c>
      <c r="D928" t="s">
        <v>45</v>
      </c>
      <c r="E928" t="s">
        <v>34</v>
      </c>
      <c r="F928" t="s">
        <v>50</v>
      </c>
      <c r="G928" t="s">
        <v>73</v>
      </c>
      <c r="H928">
        <v>5</v>
      </c>
      <c r="I928">
        <v>450000</v>
      </c>
      <c r="J928" t="s">
        <v>108</v>
      </c>
      <c r="K928" t="s">
        <v>29</v>
      </c>
      <c r="L928">
        <v>53</v>
      </c>
      <c r="M928" t="s">
        <v>30</v>
      </c>
      <c r="N928" t="s">
        <v>2850</v>
      </c>
    </row>
    <row r="929" spans="1:14" x14ac:dyDescent="0.35">
      <c r="A929" t="s">
        <v>2851</v>
      </c>
      <c r="B929" t="s">
        <v>2852</v>
      </c>
      <c r="C929" s="1">
        <v>45050</v>
      </c>
      <c r="D929" t="s">
        <v>45</v>
      </c>
      <c r="E929" t="s">
        <v>34</v>
      </c>
      <c r="F929" t="s">
        <v>39</v>
      </c>
      <c r="G929" t="s">
        <v>188</v>
      </c>
      <c r="H929">
        <v>5</v>
      </c>
      <c r="I929">
        <v>630000</v>
      </c>
      <c r="J929" t="s">
        <v>46</v>
      </c>
      <c r="K929" t="s">
        <v>41</v>
      </c>
      <c r="L929">
        <v>48</v>
      </c>
      <c r="M929" t="s">
        <v>22</v>
      </c>
      <c r="N929" t="s">
        <v>2853</v>
      </c>
    </row>
    <row r="930" spans="1:14" x14ac:dyDescent="0.35">
      <c r="A930" t="s">
        <v>2854</v>
      </c>
      <c r="B930" t="s">
        <v>2855</v>
      </c>
      <c r="C930" s="1">
        <v>45461</v>
      </c>
      <c r="D930" t="s">
        <v>72</v>
      </c>
      <c r="E930" t="s">
        <v>55</v>
      </c>
      <c r="F930" t="s">
        <v>18</v>
      </c>
      <c r="G930" t="s">
        <v>103</v>
      </c>
      <c r="H930">
        <v>1</v>
      </c>
      <c r="I930">
        <v>54000</v>
      </c>
      <c r="J930" t="s">
        <v>83</v>
      </c>
      <c r="K930" t="s">
        <v>21</v>
      </c>
      <c r="L930">
        <v>42</v>
      </c>
      <c r="M930" t="s">
        <v>22</v>
      </c>
      <c r="N930" t="s">
        <v>2856</v>
      </c>
    </row>
    <row r="931" spans="1:14" x14ac:dyDescent="0.35">
      <c r="A931" t="s">
        <v>2857</v>
      </c>
      <c r="B931" t="s">
        <v>2858</v>
      </c>
      <c r="C931" s="1">
        <v>45770</v>
      </c>
      <c r="D931" t="s">
        <v>66</v>
      </c>
      <c r="E931" t="s">
        <v>55</v>
      </c>
      <c r="F931" t="s">
        <v>26</v>
      </c>
      <c r="G931" t="s">
        <v>87</v>
      </c>
      <c r="H931">
        <v>4</v>
      </c>
      <c r="I931">
        <v>288000</v>
      </c>
      <c r="J931" t="s">
        <v>108</v>
      </c>
      <c r="K931" t="s">
        <v>21</v>
      </c>
      <c r="L931">
        <v>17</v>
      </c>
      <c r="M931" t="s">
        <v>30</v>
      </c>
      <c r="N931" t="s">
        <v>2859</v>
      </c>
    </row>
    <row r="932" spans="1:14" x14ac:dyDescent="0.35">
      <c r="A932" t="s">
        <v>2860</v>
      </c>
      <c r="B932" t="s">
        <v>2861</v>
      </c>
      <c r="C932" s="1">
        <v>45401</v>
      </c>
      <c r="D932" t="s">
        <v>66</v>
      </c>
      <c r="E932" t="s">
        <v>55</v>
      </c>
      <c r="F932" t="s">
        <v>50</v>
      </c>
      <c r="G932" t="s">
        <v>51</v>
      </c>
      <c r="H932">
        <v>5</v>
      </c>
      <c r="I932">
        <v>360000</v>
      </c>
      <c r="J932" t="s">
        <v>83</v>
      </c>
      <c r="K932" t="s">
        <v>21</v>
      </c>
      <c r="L932">
        <v>8</v>
      </c>
      <c r="M932" t="s">
        <v>30</v>
      </c>
      <c r="N932" t="s">
        <v>2862</v>
      </c>
    </row>
    <row r="933" spans="1:14" x14ac:dyDescent="0.35">
      <c r="A933" t="s">
        <v>2863</v>
      </c>
      <c r="B933" t="s">
        <v>2864</v>
      </c>
      <c r="C933" s="1">
        <v>45550</v>
      </c>
      <c r="D933" t="s">
        <v>66</v>
      </c>
      <c r="E933" t="s">
        <v>55</v>
      </c>
      <c r="F933" t="s">
        <v>61</v>
      </c>
      <c r="G933" t="s">
        <v>99</v>
      </c>
      <c r="H933">
        <v>3</v>
      </c>
      <c r="I933">
        <v>180000</v>
      </c>
      <c r="J933" t="s">
        <v>108</v>
      </c>
      <c r="K933" t="s">
        <v>29</v>
      </c>
      <c r="L933">
        <v>12</v>
      </c>
      <c r="M933" t="s">
        <v>30</v>
      </c>
      <c r="N933" t="s">
        <v>2865</v>
      </c>
    </row>
    <row r="934" spans="1:14" x14ac:dyDescent="0.35">
      <c r="A934" t="s">
        <v>2866</v>
      </c>
      <c r="B934" t="s">
        <v>2867</v>
      </c>
      <c r="C934" s="1">
        <v>45330</v>
      </c>
      <c r="D934" t="s">
        <v>45</v>
      </c>
      <c r="E934" t="s">
        <v>55</v>
      </c>
      <c r="F934" t="s">
        <v>67</v>
      </c>
      <c r="G934" t="s">
        <v>68</v>
      </c>
      <c r="H934">
        <v>3</v>
      </c>
      <c r="I934">
        <v>378000</v>
      </c>
      <c r="J934" t="s">
        <v>20</v>
      </c>
      <c r="K934" t="s">
        <v>41</v>
      </c>
      <c r="L934">
        <v>23</v>
      </c>
      <c r="M934" t="s">
        <v>30</v>
      </c>
      <c r="N934" t="s">
        <v>2868</v>
      </c>
    </row>
    <row r="935" spans="1:14" x14ac:dyDescent="0.35">
      <c r="A935" t="s">
        <v>2869</v>
      </c>
      <c r="B935" t="s">
        <v>2870</v>
      </c>
      <c r="C935" s="1">
        <v>45628</v>
      </c>
      <c r="D935" t="s">
        <v>45</v>
      </c>
      <c r="E935" t="s">
        <v>17</v>
      </c>
      <c r="F935" t="s">
        <v>77</v>
      </c>
      <c r="G935" t="s">
        <v>136</v>
      </c>
      <c r="H935">
        <v>1</v>
      </c>
      <c r="I935">
        <v>90000</v>
      </c>
      <c r="J935" t="s">
        <v>20</v>
      </c>
      <c r="K935" t="s">
        <v>29</v>
      </c>
      <c r="L935">
        <v>14</v>
      </c>
      <c r="M935" t="s">
        <v>30</v>
      </c>
      <c r="N935" t="s">
        <v>2871</v>
      </c>
    </row>
    <row r="936" spans="1:14" x14ac:dyDescent="0.35">
      <c r="A936" t="s">
        <v>2872</v>
      </c>
      <c r="B936" t="s">
        <v>2873</v>
      </c>
      <c r="C936" s="1">
        <v>45571</v>
      </c>
      <c r="D936" t="s">
        <v>45</v>
      </c>
      <c r="E936" t="s">
        <v>17</v>
      </c>
      <c r="F936" t="s">
        <v>163</v>
      </c>
      <c r="G936" t="s">
        <v>536</v>
      </c>
      <c r="H936">
        <v>5</v>
      </c>
      <c r="I936">
        <v>630000</v>
      </c>
      <c r="J936" t="s">
        <v>46</v>
      </c>
      <c r="K936" t="s">
        <v>41</v>
      </c>
      <c r="L936">
        <v>31</v>
      </c>
      <c r="M936" t="s">
        <v>22</v>
      </c>
      <c r="N936" t="s">
        <v>2874</v>
      </c>
    </row>
    <row r="937" spans="1:14" x14ac:dyDescent="0.35">
      <c r="A937" t="s">
        <v>2875</v>
      </c>
      <c r="B937" t="s">
        <v>2876</v>
      </c>
      <c r="C937" s="1">
        <v>45227</v>
      </c>
      <c r="D937" t="s">
        <v>66</v>
      </c>
      <c r="E937" t="s">
        <v>17</v>
      </c>
      <c r="F937" t="s">
        <v>50</v>
      </c>
      <c r="G937" t="s">
        <v>73</v>
      </c>
      <c r="H937">
        <v>5</v>
      </c>
      <c r="I937">
        <v>420000</v>
      </c>
      <c r="J937" t="s">
        <v>20</v>
      </c>
      <c r="K937" t="s">
        <v>41</v>
      </c>
      <c r="L937">
        <v>18</v>
      </c>
      <c r="M937" t="s">
        <v>30</v>
      </c>
      <c r="N937" t="s">
        <v>2877</v>
      </c>
    </row>
    <row r="938" spans="1:14" x14ac:dyDescent="0.35">
      <c r="A938" t="s">
        <v>2878</v>
      </c>
      <c r="B938" t="s">
        <v>2879</v>
      </c>
      <c r="C938" s="1">
        <v>45192</v>
      </c>
      <c r="D938" t="s">
        <v>45</v>
      </c>
      <c r="E938" t="s">
        <v>17</v>
      </c>
      <c r="F938" t="s">
        <v>163</v>
      </c>
      <c r="G938" t="s">
        <v>201</v>
      </c>
      <c r="H938">
        <v>1</v>
      </c>
      <c r="I938">
        <v>108000</v>
      </c>
      <c r="J938" t="s">
        <v>83</v>
      </c>
      <c r="K938" t="s">
        <v>21</v>
      </c>
      <c r="L938">
        <v>21</v>
      </c>
      <c r="M938" t="s">
        <v>22</v>
      </c>
      <c r="N938" t="s">
        <v>2880</v>
      </c>
    </row>
    <row r="939" spans="1:14" x14ac:dyDescent="0.35">
      <c r="A939" t="s">
        <v>2881</v>
      </c>
      <c r="B939" t="s">
        <v>2882</v>
      </c>
      <c r="C939" s="1">
        <v>45348</v>
      </c>
      <c r="D939" t="s">
        <v>72</v>
      </c>
      <c r="E939" t="s">
        <v>17</v>
      </c>
      <c r="F939" t="s">
        <v>61</v>
      </c>
      <c r="G939" t="s">
        <v>290</v>
      </c>
      <c r="H939">
        <v>2</v>
      </c>
      <c r="I939">
        <v>126000</v>
      </c>
      <c r="J939" t="s">
        <v>28</v>
      </c>
      <c r="K939" t="s">
        <v>41</v>
      </c>
      <c r="L939">
        <v>56</v>
      </c>
      <c r="M939" t="s">
        <v>22</v>
      </c>
      <c r="N939" t="s">
        <v>2883</v>
      </c>
    </row>
    <row r="940" spans="1:14" x14ac:dyDescent="0.35">
      <c r="A940" t="s">
        <v>2884</v>
      </c>
      <c r="B940" t="s">
        <v>2885</v>
      </c>
      <c r="C940" s="1">
        <v>45234</v>
      </c>
      <c r="D940" t="s">
        <v>66</v>
      </c>
      <c r="E940" t="s">
        <v>55</v>
      </c>
      <c r="F940" t="s">
        <v>50</v>
      </c>
      <c r="G940" t="s">
        <v>107</v>
      </c>
      <c r="H940">
        <v>4</v>
      </c>
      <c r="I940">
        <v>336000</v>
      </c>
      <c r="J940" t="s">
        <v>28</v>
      </c>
      <c r="K940" t="s">
        <v>41</v>
      </c>
      <c r="L940">
        <v>31</v>
      </c>
      <c r="M940" t="s">
        <v>22</v>
      </c>
      <c r="N940" t="s">
        <v>2886</v>
      </c>
    </row>
    <row r="941" spans="1:14" x14ac:dyDescent="0.35">
      <c r="A941" t="s">
        <v>2887</v>
      </c>
      <c r="B941" t="s">
        <v>2888</v>
      </c>
      <c r="C941" s="1">
        <v>45249</v>
      </c>
      <c r="D941" t="s">
        <v>16</v>
      </c>
      <c r="E941" t="s">
        <v>34</v>
      </c>
      <c r="F941" t="s">
        <v>61</v>
      </c>
      <c r="G941" t="s">
        <v>95</v>
      </c>
      <c r="H941">
        <v>4</v>
      </c>
      <c r="I941">
        <v>560000</v>
      </c>
      <c r="J941" t="s">
        <v>20</v>
      </c>
      <c r="K941" t="s">
        <v>41</v>
      </c>
      <c r="L941">
        <v>14</v>
      </c>
      <c r="M941" t="s">
        <v>22</v>
      </c>
      <c r="N941" t="s">
        <v>2889</v>
      </c>
    </row>
    <row r="942" spans="1:14" x14ac:dyDescent="0.35">
      <c r="A942" t="s">
        <v>2890</v>
      </c>
      <c r="B942" t="s">
        <v>2891</v>
      </c>
      <c r="C942" s="1">
        <v>45313</v>
      </c>
      <c r="D942" t="s">
        <v>72</v>
      </c>
      <c r="E942" t="s">
        <v>34</v>
      </c>
      <c r="F942" t="s">
        <v>67</v>
      </c>
      <c r="G942" t="s">
        <v>128</v>
      </c>
      <c r="H942">
        <v>1</v>
      </c>
      <c r="I942">
        <v>63000</v>
      </c>
      <c r="J942" t="s">
        <v>28</v>
      </c>
      <c r="K942" t="s">
        <v>41</v>
      </c>
      <c r="L942">
        <v>14</v>
      </c>
      <c r="M942" t="s">
        <v>22</v>
      </c>
      <c r="N942" t="s">
        <v>2892</v>
      </c>
    </row>
    <row r="943" spans="1:14" x14ac:dyDescent="0.35">
      <c r="A943" t="s">
        <v>2893</v>
      </c>
      <c r="B943" t="s">
        <v>2894</v>
      </c>
      <c r="C943" s="1">
        <v>45422</v>
      </c>
      <c r="D943" t="s">
        <v>16</v>
      </c>
      <c r="E943" t="s">
        <v>34</v>
      </c>
      <c r="F943" t="s">
        <v>50</v>
      </c>
      <c r="G943" t="s">
        <v>73</v>
      </c>
      <c r="H943">
        <v>4</v>
      </c>
      <c r="I943">
        <v>560000</v>
      </c>
      <c r="J943" t="s">
        <v>28</v>
      </c>
      <c r="K943" t="s">
        <v>41</v>
      </c>
      <c r="L943">
        <v>60</v>
      </c>
      <c r="M943" t="s">
        <v>22</v>
      </c>
      <c r="N943" t="s">
        <v>2895</v>
      </c>
    </row>
    <row r="944" spans="1:14" x14ac:dyDescent="0.35">
      <c r="A944" t="s">
        <v>2896</v>
      </c>
      <c r="B944" t="s">
        <v>2897</v>
      </c>
      <c r="C944" s="1">
        <v>45475</v>
      </c>
      <c r="D944" t="s">
        <v>66</v>
      </c>
      <c r="E944" t="s">
        <v>34</v>
      </c>
      <c r="F944" t="s">
        <v>77</v>
      </c>
      <c r="G944" t="s">
        <v>91</v>
      </c>
      <c r="H944">
        <v>3</v>
      </c>
      <c r="I944">
        <v>216000</v>
      </c>
      <c r="J944" t="s">
        <v>108</v>
      </c>
      <c r="K944" t="s">
        <v>21</v>
      </c>
      <c r="L944">
        <v>32</v>
      </c>
      <c r="M944" t="s">
        <v>22</v>
      </c>
      <c r="N944" t="s">
        <v>2898</v>
      </c>
    </row>
    <row r="945" spans="1:14" x14ac:dyDescent="0.35">
      <c r="A945" t="s">
        <v>2899</v>
      </c>
      <c r="B945" t="s">
        <v>2900</v>
      </c>
      <c r="C945" s="1">
        <v>45548</v>
      </c>
      <c r="D945" t="s">
        <v>72</v>
      </c>
      <c r="E945" t="s">
        <v>34</v>
      </c>
      <c r="F945" t="s">
        <v>50</v>
      </c>
      <c r="G945" t="s">
        <v>132</v>
      </c>
      <c r="H945">
        <v>2</v>
      </c>
      <c r="I945">
        <v>90000</v>
      </c>
      <c r="J945" t="s">
        <v>20</v>
      </c>
      <c r="K945" t="s">
        <v>29</v>
      </c>
      <c r="L945">
        <v>15</v>
      </c>
      <c r="M945" t="s">
        <v>22</v>
      </c>
      <c r="N945" t="s">
        <v>2901</v>
      </c>
    </row>
    <row r="946" spans="1:14" x14ac:dyDescent="0.35">
      <c r="A946" t="s">
        <v>2902</v>
      </c>
      <c r="B946" t="s">
        <v>2903</v>
      </c>
      <c r="C946" s="1">
        <v>45065</v>
      </c>
      <c r="D946" t="s">
        <v>45</v>
      </c>
      <c r="E946" t="s">
        <v>17</v>
      </c>
      <c r="F946" t="s">
        <v>67</v>
      </c>
      <c r="G946" t="s">
        <v>68</v>
      </c>
      <c r="H946">
        <v>4</v>
      </c>
      <c r="I946">
        <v>432000</v>
      </c>
      <c r="J946" t="s">
        <v>20</v>
      </c>
      <c r="K946" t="s">
        <v>21</v>
      </c>
      <c r="L946">
        <v>20</v>
      </c>
      <c r="M946" t="s">
        <v>30</v>
      </c>
      <c r="N946" t="s">
        <v>2904</v>
      </c>
    </row>
    <row r="947" spans="1:14" x14ac:dyDescent="0.35">
      <c r="A947" t="s">
        <v>2905</v>
      </c>
      <c r="B947" t="s">
        <v>2906</v>
      </c>
      <c r="C947" s="1">
        <v>45384</v>
      </c>
      <c r="D947" t="s">
        <v>72</v>
      </c>
      <c r="E947" t="s">
        <v>17</v>
      </c>
      <c r="F947" t="s">
        <v>252</v>
      </c>
      <c r="G947" t="s">
        <v>286</v>
      </c>
      <c r="H947">
        <v>3</v>
      </c>
      <c r="I947">
        <v>162000</v>
      </c>
      <c r="J947" t="s">
        <v>28</v>
      </c>
      <c r="K947" t="s">
        <v>21</v>
      </c>
      <c r="L947">
        <v>54</v>
      </c>
      <c r="M947" t="s">
        <v>22</v>
      </c>
      <c r="N947" t="s">
        <v>2907</v>
      </c>
    </row>
    <row r="948" spans="1:14" x14ac:dyDescent="0.35">
      <c r="A948" t="s">
        <v>2908</v>
      </c>
      <c r="B948" t="s">
        <v>2909</v>
      </c>
      <c r="C948" s="1">
        <v>45095</v>
      </c>
      <c r="D948" t="s">
        <v>45</v>
      </c>
      <c r="E948" t="s">
        <v>34</v>
      </c>
      <c r="F948" t="s">
        <v>67</v>
      </c>
      <c r="G948" t="s">
        <v>112</v>
      </c>
      <c r="H948">
        <v>4</v>
      </c>
      <c r="I948">
        <v>432000</v>
      </c>
      <c r="J948" t="s">
        <v>28</v>
      </c>
      <c r="K948" t="s">
        <v>21</v>
      </c>
      <c r="L948">
        <v>46</v>
      </c>
      <c r="M948" t="s">
        <v>30</v>
      </c>
      <c r="N948" t="s">
        <v>2910</v>
      </c>
    </row>
    <row r="949" spans="1:14" x14ac:dyDescent="0.35">
      <c r="A949" t="s">
        <v>2911</v>
      </c>
      <c r="B949" t="s">
        <v>2912</v>
      </c>
      <c r="C949" s="1">
        <v>45338</v>
      </c>
      <c r="D949" t="s">
        <v>66</v>
      </c>
      <c r="E949" t="s">
        <v>34</v>
      </c>
      <c r="F949" t="s">
        <v>67</v>
      </c>
      <c r="G949" t="s">
        <v>112</v>
      </c>
      <c r="H949">
        <v>5</v>
      </c>
      <c r="I949">
        <v>360000</v>
      </c>
      <c r="J949" t="s">
        <v>83</v>
      </c>
      <c r="K949" t="s">
        <v>21</v>
      </c>
      <c r="L949">
        <v>44</v>
      </c>
      <c r="M949" t="s">
        <v>30</v>
      </c>
      <c r="N949" t="s">
        <v>2913</v>
      </c>
    </row>
    <row r="950" spans="1:14" x14ac:dyDescent="0.35">
      <c r="A950" t="s">
        <v>2914</v>
      </c>
      <c r="B950" t="s">
        <v>2915</v>
      </c>
      <c r="C950" s="1">
        <v>45207</v>
      </c>
      <c r="D950" t="s">
        <v>72</v>
      </c>
      <c r="E950" t="s">
        <v>34</v>
      </c>
      <c r="F950" t="s">
        <v>252</v>
      </c>
      <c r="G950" t="s">
        <v>253</v>
      </c>
      <c r="H950">
        <v>3</v>
      </c>
      <c r="I950">
        <v>189000</v>
      </c>
      <c r="J950" t="s">
        <v>20</v>
      </c>
      <c r="K950" t="s">
        <v>41</v>
      </c>
      <c r="L950">
        <v>56</v>
      </c>
      <c r="M950" t="s">
        <v>22</v>
      </c>
      <c r="N950" t="s">
        <v>2916</v>
      </c>
    </row>
    <row r="951" spans="1:14" x14ac:dyDescent="0.35">
      <c r="A951" t="s">
        <v>2917</v>
      </c>
      <c r="B951" t="s">
        <v>2918</v>
      </c>
      <c r="C951" s="1">
        <v>45250</v>
      </c>
      <c r="D951" t="s">
        <v>16</v>
      </c>
      <c r="E951" t="s">
        <v>34</v>
      </c>
      <c r="F951" t="s">
        <v>39</v>
      </c>
      <c r="G951" t="s">
        <v>82</v>
      </c>
      <c r="H951">
        <v>4</v>
      </c>
      <c r="I951">
        <v>560000</v>
      </c>
      <c r="J951" t="s">
        <v>46</v>
      </c>
      <c r="K951" t="s">
        <v>41</v>
      </c>
      <c r="L951">
        <v>55</v>
      </c>
      <c r="M951" t="s">
        <v>30</v>
      </c>
      <c r="N951" t="s">
        <v>2919</v>
      </c>
    </row>
    <row r="952" spans="1:14" x14ac:dyDescent="0.35">
      <c r="A952" t="s">
        <v>2920</v>
      </c>
      <c r="B952" t="s">
        <v>2921</v>
      </c>
      <c r="C952" s="1">
        <v>45244</v>
      </c>
      <c r="D952" t="s">
        <v>45</v>
      </c>
      <c r="E952" t="s">
        <v>17</v>
      </c>
      <c r="F952" t="s">
        <v>18</v>
      </c>
      <c r="G952" t="s">
        <v>297</v>
      </c>
      <c r="H952">
        <v>5</v>
      </c>
      <c r="I952">
        <v>630000</v>
      </c>
      <c r="J952" t="s">
        <v>46</v>
      </c>
      <c r="K952" t="s">
        <v>41</v>
      </c>
      <c r="L952">
        <v>44</v>
      </c>
      <c r="M952" t="s">
        <v>30</v>
      </c>
      <c r="N952" t="s">
        <v>2922</v>
      </c>
    </row>
    <row r="953" spans="1:14" x14ac:dyDescent="0.35">
      <c r="A953" t="s">
        <v>2923</v>
      </c>
      <c r="B953" t="s">
        <v>2924</v>
      </c>
      <c r="C953" s="1">
        <v>45405</v>
      </c>
      <c r="D953" t="s">
        <v>45</v>
      </c>
      <c r="E953" t="s">
        <v>17</v>
      </c>
      <c r="F953" t="s">
        <v>163</v>
      </c>
      <c r="G953" t="s">
        <v>201</v>
      </c>
      <c r="H953">
        <v>5</v>
      </c>
      <c r="I953">
        <v>630000</v>
      </c>
      <c r="J953" t="s">
        <v>20</v>
      </c>
      <c r="K953" t="s">
        <v>41</v>
      </c>
      <c r="L953">
        <v>21</v>
      </c>
      <c r="M953" t="s">
        <v>30</v>
      </c>
      <c r="N953" t="s">
        <v>2925</v>
      </c>
    </row>
    <row r="954" spans="1:14" x14ac:dyDescent="0.35">
      <c r="A954" t="s">
        <v>2926</v>
      </c>
      <c r="B954" t="s">
        <v>2927</v>
      </c>
      <c r="C954" s="1">
        <v>45525</v>
      </c>
      <c r="D954" t="s">
        <v>16</v>
      </c>
      <c r="E954" t="s">
        <v>55</v>
      </c>
      <c r="F954" t="s">
        <v>252</v>
      </c>
      <c r="G954" t="s">
        <v>504</v>
      </c>
      <c r="H954">
        <v>1</v>
      </c>
      <c r="I954">
        <v>140000</v>
      </c>
      <c r="J954" t="s">
        <v>28</v>
      </c>
      <c r="K954" t="s">
        <v>41</v>
      </c>
      <c r="L954">
        <v>56</v>
      </c>
      <c r="M954" t="s">
        <v>22</v>
      </c>
      <c r="N954" t="s">
        <v>2928</v>
      </c>
    </row>
    <row r="955" spans="1:14" x14ac:dyDescent="0.35">
      <c r="A955" t="s">
        <v>2929</v>
      </c>
      <c r="B955" t="s">
        <v>2930</v>
      </c>
      <c r="C955" s="1">
        <v>45556</v>
      </c>
      <c r="D955" t="s">
        <v>45</v>
      </c>
      <c r="E955" t="s">
        <v>55</v>
      </c>
      <c r="F955" t="s">
        <v>26</v>
      </c>
      <c r="G955" t="s">
        <v>87</v>
      </c>
      <c r="H955">
        <v>4</v>
      </c>
      <c r="I955">
        <v>360000</v>
      </c>
      <c r="J955" t="s">
        <v>108</v>
      </c>
      <c r="K955" t="s">
        <v>29</v>
      </c>
      <c r="L955">
        <v>12</v>
      </c>
      <c r="M955" t="s">
        <v>22</v>
      </c>
      <c r="N955" t="s">
        <v>2931</v>
      </c>
    </row>
    <row r="956" spans="1:14" x14ac:dyDescent="0.35">
      <c r="A956" t="s">
        <v>2932</v>
      </c>
      <c r="B956" t="s">
        <v>2933</v>
      </c>
      <c r="C956" s="1">
        <v>45497</v>
      </c>
      <c r="D956" t="s">
        <v>72</v>
      </c>
      <c r="E956" t="s">
        <v>55</v>
      </c>
      <c r="F956" t="s">
        <v>26</v>
      </c>
      <c r="G956" t="s">
        <v>221</v>
      </c>
      <c r="H956">
        <v>2</v>
      </c>
      <c r="I956">
        <v>108000</v>
      </c>
      <c r="J956" t="s">
        <v>28</v>
      </c>
      <c r="K956" t="s">
        <v>21</v>
      </c>
      <c r="L956">
        <v>14</v>
      </c>
      <c r="M956" t="s">
        <v>22</v>
      </c>
      <c r="N956" t="s">
        <v>2934</v>
      </c>
    </row>
    <row r="957" spans="1:14" x14ac:dyDescent="0.35">
      <c r="A957" t="s">
        <v>2935</v>
      </c>
      <c r="B957" t="s">
        <v>2936</v>
      </c>
      <c r="C957" s="1">
        <v>45703</v>
      </c>
      <c r="D957" t="s">
        <v>16</v>
      </c>
      <c r="E957" t="s">
        <v>55</v>
      </c>
      <c r="F957" t="s">
        <v>252</v>
      </c>
      <c r="G957" t="s">
        <v>286</v>
      </c>
      <c r="H957">
        <v>3</v>
      </c>
      <c r="I957">
        <v>420000</v>
      </c>
      <c r="J957" t="s">
        <v>46</v>
      </c>
      <c r="K957" t="s">
        <v>41</v>
      </c>
      <c r="L957">
        <v>46</v>
      </c>
      <c r="M957" t="s">
        <v>22</v>
      </c>
      <c r="N957" t="s">
        <v>2937</v>
      </c>
    </row>
    <row r="958" spans="1:14" x14ac:dyDescent="0.35">
      <c r="A958" t="s">
        <v>2938</v>
      </c>
      <c r="B958" t="s">
        <v>2939</v>
      </c>
      <c r="C958" s="1">
        <v>45366</v>
      </c>
      <c r="D958" t="s">
        <v>16</v>
      </c>
      <c r="E958" t="s">
        <v>34</v>
      </c>
      <c r="F958" t="s">
        <v>163</v>
      </c>
      <c r="G958" t="s">
        <v>201</v>
      </c>
      <c r="H958">
        <v>2</v>
      </c>
      <c r="I958">
        <v>240000</v>
      </c>
      <c r="J958" t="s">
        <v>46</v>
      </c>
      <c r="K958" t="s">
        <v>21</v>
      </c>
      <c r="L958">
        <v>27</v>
      </c>
      <c r="M958" t="s">
        <v>22</v>
      </c>
      <c r="N958" t="s">
        <v>2940</v>
      </c>
    </row>
    <row r="959" spans="1:14" x14ac:dyDescent="0.35">
      <c r="A959" t="s">
        <v>2941</v>
      </c>
      <c r="B959" t="s">
        <v>2942</v>
      </c>
      <c r="C959" s="1">
        <v>45400</v>
      </c>
      <c r="D959" t="s">
        <v>45</v>
      </c>
      <c r="E959" t="s">
        <v>34</v>
      </c>
      <c r="F959" t="s">
        <v>163</v>
      </c>
      <c r="G959" t="s">
        <v>164</v>
      </c>
      <c r="H959">
        <v>1</v>
      </c>
      <c r="I959">
        <v>90000</v>
      </c>
      <c r="J959" t="s">
        <v>108</v>
      </c>
      <c r="K959" t="s">
        <v>29</v>
      </c>
      <c r="L959">
        <v>46</v>
      </c>
      <c r="M959" t="s">
        <v>30</v>
      </c>
      <c r="N959" t="s">
        <v>2943</v>
      </c>
    </row>
    <row r="960" spans="1:14" x14ac:dyDescent="0.35">
      <c r="A960" t="s">
        <v>2944</v>
      </c>
      <c r="B960" t="s">
        <v>2945</v>
      </c>
      <c r="C960" s="1">
        <v>45763</v>
      </c>
      <c r="D960" t="s">
        <v>16</v>
      </c>
      <c r="E960" t="s">
        <v>34</v>
      </c>
      <c r="F960" t="s">
        <v>77</v>
      </c>
      <c r="G960" t="s">
        <v>78</v>
      </c>
      <c r="H960">
        <v>4</v>
      </c>
      <c r="I960">
        <v>400000</v>
      </c>
      <c r="J960" t="s">
        <v>28</v>
      </c>
      <c r="K960" t="s">
        <v>29</v>
      </c>
      <c r="L960">
        <v>38</v>
      </c>
      <c r="M960" t="s">
        <v>22</v>
      </c>
      <c r="N960" t="s">
        <v>2946</v>
      </c>
    </row>
    <row r="961" spans="1:14" x14ac:dyDescent="0.35">
      <c r="A961" t="s">
        <v>2947</v>
      </c>
      <c r="B961" t="s">
        <v>2948</v>
      </c>
      <c r="C961" s="1">
        <v>45229</v>
      </c>
      <c r="D961" t="s">
        <v>45</v>
      </c>
      <c r="E961" t="s">
        <v>55</v>
      </c>
      <c r="F961" t="s">
        <v>50</v>
      </c>
      <c r="G961" t="s">
        <v>132</v>
      </c>
      <c r="H961">
        <v>5</v>
      </c>
      <c r="I961">
        <v>540000</v>
      </c>
      <c r="J961" t="s">
        <v>46</v>
      </c>
      <c r="K961" t="s">
        <v>21</v>
      </c>
      <c r="L961">
        <v>37</v>
      </c>
      <c r="M961" t="s">
        <v>22</v>
      </c>
      <c r="N961" t="s">
        <v>2949</v>
      </c>
    </row>
    <row r="962" spans="1:14" x14ac:dyDescent="0.35">
      <c r="A962" t="s">
        <v>2950</v>
      </c>
      <c r="B962" t="s">
        <v>2951</v>
      </c>
      <c r="C962" s="1">
        <v>45242</v>
      </c>
      <c r="D962" t="s">
        <v>16</v>
      </c>
      <c r="E962" t="s">
        <v>55</v>
      </c>
      <c r="F962" t="s">
        <v>67</v>
      </c>
      <c r="G962" t="s">
        <v>128</v>
      </c>
      <c r="H962">
        <v>5</v>
      </c>
      <c r="I962">
        <v>500000</v>
      </c>
      <c r="J962" t="s">
        <v>20</v>
      </c>
      <c r="K962" t="s">
        <v>29</v>
      </c>
      <c r="L962">
        <v>27</v>
      </c>
      <c r="M962" t="s">
        <v>22</v>
      </c>
      <c r="N962" t="s">
        <v>2952</v>
      </c>
    </row>
    <row r="963" spans="1:14" x14ac:dyDescent="0.35">
      <c r="A963" t="s">
        <v>2953</v>
      </c>
      <c r="B963" t="s">
        <v>2954</v>
      </c>
      <c r="C963" s="1">
        <v>45730</v>
      </c>
      <c r="D963" t="s">
        <v>45</v>
      </c>
      <c r="E963" t="s">
        <v>17</v>
      </c>
      <c r="F963" t="s">
        <v>26</v>
      </c>
      <c r="G963" t="s">
        <v>124</v>
      </c>
      <c r="H963">
        <v>4</v>
      </c>
      <c r="I963">
        <v>504000</v>
      </c>
      <c r="J963" t="s">
        <v>83</v>
      </c>
      <c r="K963" t="s">
        <v>41</v>
      </c>
      <c r="L963">
        <v>17</v>
      </c>
      <c r="M963" t="s">
        <v>30</v>
      </c>
      <c r="N963" t="s">
        <v>2955</v>
      </c>
    </row>
    <row r="964" spans="1:14" x14ac:dyDescent="0.35">
      <c r="A964" t="s">
        <v>2956</v>
      </c>
      <c r="B964" t="s">
        <v>2957</v>
      </c>
      <c r="C964" s="1">
        <v>45711</v>
      </c>
      <c r="D964" t="s">
        <v>45</v>
      </c>
      <c r="E964" t="s">
        <v>55</v>
      </c>
      <c r="F964" t="s">
        <v>252</v>
      </c>
      <c r="G964" t="s">
        <v>307</v>
      </c>
      <c r="H964">
        <v>5</v>
      </c>
      <c r="I964">
        <v>450000</v>
      </c>
      <c r="J964" t="s">
        <v>46</v>
      </c>
      <c r="K964" t="s">
        <v>29</v>
      </c>
      <c r="L964">
        <v>43</v>
      </c>
      <c r="M964" t="s">
        <v>22</v>
      </c>
      <c r="N964" t="s">
        <v>2958</v>
      </c>
    </row>
    <row r="965" spans="1:14" x14ac:dyDescent="0.35">
      <c r="A965" t="s">
        <v>2959</v>
      </c>
      <c r="B965" t="s">
        <v>2960</v>
      </c>
      <c r="C965" s="1">
        <v>45258</v>
      </c>
      <c r="D965" t="s">
        <v>16</v>
      </c>
      <c r="E965" t="s">
        <v>17</v>
      </c>
      <c r="F965" t="s">
        <v>26</v>
      </c>
      <c r="G965" t="s">
        <v>87</v>
      </c>
      <c r="H965">
        <v>3</v>
      </c>
      <c r="I965">
        <v>300000</v>
      </c>
      <c r="J965" t="s">
        <v>108</v>
      </c>
      <c r="K965" t="s">
        <v>29</v>
      </c>
      <c r="L965">
        <v>42</v>
      </c>
      <c r="M965" t="s">
        <v>30</v>
      </c>
      <c r="N965" t="s">
        <v>2961</v>
      </c>
    </row>
    <row r="966" spans="1:14" x14ac:dyDescent="0.35">
      <c r="A966" t="s">
        <v>2962</v>
      </c>
      <c r="B966" t="s">
        <v>2963</v>
      </c>
      <c r="C966" s="1">
        <v>45673</v>
      </c>
      <c r="D966" t="s">
        <v>66</v>
      </c>
      <c r="E966" t="s">
        <v>34</v>
      </c>
      <c r="F966" t="s">
        <v>39</v>
      </c>
      <c r="G966" t="s">
        <v>140</v>
      </c>
      <c r="H966">
        <v>5</v>
      </c>
      <c r="I966">
        <v>300000</v>
      </c>
      <c r="J966" t="s">
        <v>28</v>
      </c>
      <c r="K966" t="s">
        <v>29</v>
      </c>
      <c r="L966">
        <v>33</v>
      </c>
      <c r="M966" t="s">
        <v>30</v>
      </c>
      <c r="N966" t="s">
        <v>2964</v>
      </c>
    </row>
    <row r="967" spans="1:14" x14ac:dyDescent="0.35">
      <c r="A967" t="s">
        <v>2965</v>
      </c>
      <c r="B967" t="s">
        <v>2966</v>
      </c>
      <c r="C967" s="1">
        <v>45051</v>
      </c>
      <c r="D967" t="s">
        <v>16</v>
      </c>
      <c r="E967" t="s">
        <v>34</v>
      </c>
      <c r="F967" t="s">
        <v>26</v>
      </c>
      <c r="G967" t="s">
        <v>124</v>
      </c>
      <c r="H967">
        <v>1</v>
      </c>
      <c r="I967">
        <v>140000</v>
      </c>
      <c r="J967" t="s">
        <v>46</v>
      </c>
      <c r="K967" t="s">
        <v>41</v>
      </c>
      <c r="L967">
        <v>37</v>
      </c>
      <c r="M967" t="s">
        <v>30</v>
      </c>
      <c r="N967" t="s">
        <v>2967</v>
      </c>
    </row>
    <row r="968" spans="1:14" x14ac:dyDescent="0.35">
      <c r="A968" t="s">
        <v>2968</v>
      </c>
      <c r="B968" t="s">
        <v>2969</v>
      </c>
      <c r="C968" s="1">
        <v>45245</v>
      </c>
      <c r="D968" t="s">
        <v>16</v>
      </c>
      <c r="E968" t="s">
        <v>34</v>
      </c>
      <c r="F968" t="s">
        <v>67</v>
      </c>
      <c r="G968" t="s">
        <v>448</v>
      </c>
      <c r="H968">
        <v>5</v>
      </c>
      <c r="I968">
        <v>700000</v>
      </c>
      <c r="J968" t="s">
        <v>46</v>
      </c>
      <c r="K968" t="s">
        <v>41</v>
      </c>
      <c r="L968">
        <v>41</v>
      </c>
      <c r="M968" t="s">
        <v>22</v>
      </c>
      <c r="N968" t="s">
        <v>2970</v>
      </c>
    </row>
    <row r="969" spans="1:14" x14ac:dyDescent="0.35">
      <c r="A969" t="s">
        <v>2971</v>
      </c>
      <c r="B969" t="s">
        <v>2972</v>
      </c>
      <c r="C969" s="1">
        <v>45112</v>
      </c>
      <c r="D969" t="s">
        <v>66</v>
      </c>
      <c r="E969" t="s">
        <v>17</v>
      </c>
      <c r="F969" t="s">
        <v>56</v>
      </c>
      <c r="G969" t="s">
        <v>508</v>
      </c>
      <c r="H969">
        <v>2</v>
      </c>
      <c r="I969">
        <v>168000</v>
      </c>
      <c r="J969" t="s">
        <v>46</v>
      </c>
      <c r="K969" t="s">
        <v>41</v>
      </c>
      <c r="L969">
        <v>7</v>
      </c>
      <c r="M969" t="s">
        <v>22</v>
      </c>
      <c r="N969" t="s">
        <v>2973</v>
      </c>
    </row>
    <row r="970" spans="1:14" x14ac:dyDescent="0.35">
      <c r="A970" t="s">
        <v>2974</v>
      </c>
      <c r="B970" t="s">
        <v>2975</v>
      </c>
      <c r="C970" s="1">
        <v>45280</v>
      </c>
      <c r="D970" t="s">
        <v>16</v>
      </c>
      <c r="E970" t="s">
        <v>55</v>
      </c>
      <c r="F970" t="s">
        <v>67</v>
      </c>
      <c r="G970" t="s">
        <v>128</v>
      </c>
      <c r="H970">
        <v>2</v>
      </c>
      <c r="I970">
        <v>200000</v>
      </c>
      <c r="J970" t="s">
        <v>46</v>
      </c>
      <c r="K970" t="s">
        <v>29</v>
      </c>
      <c r="L970">
        <v>49</v>
      </c>
      <c r="M970" t="s">
        <v>30</v>
      </c>
      <c r="N970" t="s">
        <v>2976</v>
      </c>
    </row>
    <row r="971" spans="1:14" x14ac:dyDescent="0.35">
      <c r="A971" t="s">
        <v>2977</v>
      </c>
      <c r="B971" t="s">
        <v>2978</v>
      </c>
      <c r="C971" s="1">
        <v>45128</v>
      </c>
      <c r="D971" t="s">
        <v>66</v>
      </c>
      <c r="E971" t="s">
        <v>17</v>
      </c>
      <c r="F971" t="s">
        <v>26</v>
      </c>
      <c r="G971" t="s">
        <v>87</v>
      </c>
      <c r="H971">
        <v>2</v>
      </c>
      <c r="I971">
        <v>120000</v>
      </c>
      <c r="J971" t="s">
        <v>28</v>
      </c>
      <c r="K971" t="s">
        <v>29</v>
      </c>
      <c r="L971">
        <v>7</v>
      </c>
      <c r="M971" t="s">
        <v>22</v>
      </c>
      <c r="N971" t="s">
        <v>2979</v>
      </c>
    </row>
    <row r="972" spans="1:14" x14ac:dyDescent="0.35">
      <c r="A972" t="s">
        <v>2980</v>
      </c>
      <c r="B972" t="s">
        <v>2981</v>
      </c>
      <c r="C972" s="1">
        <v>45688</v>
      </c>
      <c r="D972" t="s">
        <v>45</v>
      </c>
      <c r="E972" t="s">
        <v>17</v>
      </c>
      <c r="F972" t="s">
        <v>252</v>
      </c>
      <c r="G972" t="s">
        <v>307</v>
      </c>
      <c r="H972">
        <v>5</v>
      </c>
      <c r="I972">
        <v>450000</v>
      </c>
      <c r="J972" t="s">
        <v>108</v>
      </c>
      <c r="K972" t="s">
        <v>29</v>
      </c>
      <c r="L972">
        <v>11</v>
      </c>
      <c r="M972" t="s">
        <v>30</v>
      </c>
      <c r="N972" t="s">
        <v>2982</v>
      </c>
    </row>
    <row r="973" spans="1:14" x14ac:dyDescent="0.35">
      <c r="A973" t="s">
        <v>2983</v>
      </c>
      <c r="B973" t="s">
        <v>2984</v>
      </c>
      <c r="C973" s="1">
        <v>45271</v>
      </c>
      <c r="D973" t="s">
        <v>72</v>
      </c>
      <c r="E973" t="s">
        <v>34</v>
      </c>
      <c r="F973" t="s">
        <v>50</v>
      </c>
      <c r="G973" t="s">
        <v>107</v>
      </c>
      <c r="H973">
        <v>5</v>
      </c>
      <c r="I973">
        <v>225000</v>
      </c>
      <c r="J973" t="s">
        <v>46</v>
      </c>
      <c r="K973" t="s">
        <v>29</v>
      </c>
      <c r="L973">
        <v>60</v>
      </c>
      <c r="M973" t="s">
        <v>22</v>
      </c>
      <c r="N973" t="s">
        <v>2985</v>
      </c>
    </row>
    <row r="974" spans="1:14" x14ac:dyDescent="0.35">
      <c r="A974" t="s">
        <v>2986</v>
      </c>
      <c r="B974" t="s">
        <v>2987</v>
      </c>
      <c r="C974" s="1">
        <v>45640</v>
      </c>
      <c r="D974" t="s">
        <v>66</v>
      </c>
      <c r="E974" t="s">
        <v>34</v>
      </c>
      <c r="F974" t="s">
        <v>26</v>
      </c>
      <c r="G974" t="s">
        <v>27</v>
      </c>
      <c r="H974">
        <v>3</v>
      </c>
      <c r="I974">
        <v>252000</v>
      </c>
      <c r="J974" t="s">
        <v>46</v>
      </c>
      <c r="K974" t="s">
        <v>41</v>
      </c>
      <c r="L974">
        <v>55</v>
      </c>
      <c r="M974" t="s">
        <v>22</v>
      </c>
      <c r="N974" t="s">
        <v>2988</v>
      </c>
    </row>
    <row r="975" spans="1:14" x14ac:dyDescent="0.35">
      <c r="A975" t="s">
        <v>2989</v>
      </c>
      <c r="B975" t="s">
        <v>2990</v>
      </c>
      <c r="C975" s="1">
        <v>45337</v>
      </c>
      <c r="D975" t="s">
        <v>45</v>
      </c>
      <c r="E975" t="s">
        <v>17</v>
      </c>
      <c r="F975" t="s">
        <v>18</v>
      </c>
      <c r="G975" t="s">
        <v>452</v>
      </c>
      <c r="H975">
        <v>4</v>
      </c>
      <c r="I975">
        <v>504000</v>
      </c>
      <c r="J975" t="s">
        <v>108</v>
      </c>
      <c r="K975" t="s">
        <v>41</v>
      </c>
      <c r="L975">
        <v>50</v>
      </c>
      <c r="M975" t="s">
        <v>30</v>
      </c>
      <c r="N975" t="s">
        <v>2991</v>
      </c>
    </row>
    <row r="976" spans="1:14" x14ac:dyDescent="0.35">
      <c r="A976" t="s">
        <v>2992</v>
      </c>
      <c r="B976" t="s">
        <v>2993</v>
      </c>
      <c r="C976" s="1">
        <v>45711</v>
      </c>
      <c r="D976" t="s">
        <v>16</v>
      </c>
      <c r="E976" t="s">
        <v>17</v>
      </c>
      <c r="F976" t="s">
        <v>56</v>
      </c>
      <c r="G976" t="s">
        <v>57</v>
      </c>
      <c r="H976">
        <v>4</v>
      </c>
      <c r="I976">
        <v>400000</v>
      </c>
      <c r="J976" t="s">
        <v>28</v>
      </c>
      <c r="K976" t="s">
        <v>29</v>
      </c>
      <c r="L976">
        <v>50</v>
      </c>
      <c r="M976" t="s">
        <v>30</v>
      </c>
      <c r="N976" t="s">
        <v>2994</v>
      </c>
    </row>
    <row r="977" spans="1:14" x14ac:dyDescent="0.35">
      <c r="A977" t="s">
        <v>2995</v>
      </c>
      <c r="B977" t="s">
        <v>2996</v>
      </c>
      <c r="C977" s="1">
        <v>45657</v>
      </c>
      <c r="D977" t="s">
        <v>72</v>
      </c>
      <c r="E977" t="s">
        <v>17</v>
      </c>
      <c r="F977" t="s">
        <v>26</v>
      </c>
      <c r="G977" t="s">
        <v>87</v>
      </c>
      <c r="H977">
        <v>1</v>
      </c>
      <c r="I977">
        <v>54000</v>
      </c>
      <c r="J977" t="s">
        <v>20</v>
      </c>
      <c r="K977" t="s">
        <v>21</v>
      </c>
      <c r="L977">
        <v>47</v>
      </c>
      <c r="M977" t="s">
        <v>30</v>
      </c>
      <c r="N977" t="s">
        <v>2997</v>
      </c>
    </row>
    <row r="978" spans="1:14" x14ac:dyDescent="0.35">
      <c r="A978" t="s">
        <v>2998</v>
      </c>
      <c r="B978" t="s">
        <v>2999</v>
      </c>
      <c r="C978" s="1">
        <v>45085</v>
      </c>
      <c r="D978" t="s">
        <v>66</v>
      </c>
      <c r="E978" t="s">
        <v>34</v>
      </c>
      <c r="F978" t="s">
        <v>67</v>
      </c>
      <c r="G978" t="s">
        <v>68</v>
      </c>
      <c r="H978">
        <v>5</v>
      </c>
      <c r="I978">
        <v>300000</v>
      </c>
      <c r="J978" t="s">
        <v>108</v>
      </c>
      <c r="K978" t="s">
        <v>29</v>
      </c>
      <c r="L978">
        <v>6</v>
      </c>
      <c r="M978" t="s">
        <v>22</v>
      </c>
      <c r="N978" t="s">
        <v>3000</v>
      </c>
    </row>
    <row r="979" spans="1:14" x14ac:dyDescent="0.35">
      <c r="A979" t="s">
        <v>3001</v>
      </c>
      <c r="B979" t="s">
        <v>3002</v>
      </c>
      <c r="C979" s="1">
        <v>45245</v>
      </c>
      <c r="D979" t="s">
        <v>66</v>
      </c>
      <c r="E979" t="s">
        <v>34</v>
      </c>
      <c r="F979" t="s">
        <v>39</v>
      </c>
      <c r="G979" t="s">
        <v>82</v>
      </c>
      <c r="H979">
        <v>5</v>
      </c>
      <c r="I979">
        <v>300000</v>
      </c>
      <c r="J979" t="s">
        <v>20</v>
      </c>
      <c r="K979" t="s">
        <v>29</v>
      </c>
      <c r="L979">
        <v>35</v>
      </c>
      <c r="M979" t="s">
        <v>22</v>
      </c>
      <c r="N979" t="s">
        <v>3003</v>
      </c>
    </row>
    <row r="980" spans="1:14" x14ac:dyDescent="0.35">
      <c r="A980" t="s">
        <v>3004</v>
      </c>
      <c r="B980" t="s">
        <v>3005</v>
      </c>
      <c r="C980" s="1">
        <v>45581</v>
      </c>
      <c r="D980" t="s">
        <v>16</v>
      </c>
      <c r="E980" t="s">
        <v>55</v>
      </c>
      <c r="F980" t="s">
        <v>39</v>
      </c>
      <c r="G980" t="s">
        <v>188</v>
      </c>
      <c r="H980">
        <v>5</v>
      </c>
      <c r="I980">
        <v>600000</v>
      </c>
      <c r="J980" t="s">
        <v>46</v>
      </c>
      <c r="K980" t="s">
        <v>21</v>
      </c>
      <c r="L980">
        <v>18</v>
      </c>
      <c r="M980" t="s">
        <v>22</v>
      </c>
      <c r="N980" t="s">
        <v>3006</v>
      </c>
    </row>
    <row r="981" spans="1:14" x14ac:dyDescent="0.35">
      <c r="A981" t="s">
        <v>3007</v>
      </c>
      <c r="B981" t="s">
        <v>3008</v>
      </c>
      <c r="C981" s="1">
        <v>45277</v>
      </c>
      <c r="D981" t="s">
        <v>72</v>
      </c>
      <c r="E981" t="s">
        <v>17</v>
      </c>
      <c r="F981" t="s">
        <v>56</v>
      </c>
      <c r="G981" t="s">
        <v>116</v>
      </c>
      <c r="H981">
        <v>1</v>
      </c>
      <c r="I981">
        <v>54000</v>
      </c>
      <c r="J981" t="s">
        <v>46</v>
      </c>
      <c r="K981" t="s">
        <v>21</v>
      </c>
      <c r="L981">
        <v>49</v>
      </c>
      <c r="M981" t="s">
        <v>30</v>
      </c>
      <c r="N981" t="s">
        <v>3009</v>
      </c>
    </row>
    <row r="982" spans="1:14" x14ac:dyDescent="0.35">
      <c r="A982" t="s">
        <v>3010</v>
      </c>
      <c r="B982" t="s">
        <v>3011</v>
      </c>
      <c r="C982" s="1">
        <v>45144</v>
      </c>
      <c r="D982" t="s">
        <v>45</v>
      </c>
      <c r="E982" t="s">
        <v>55</v>
      </c>
      <c r="F982" t="s">
        <v>39</v>
      </c>
      <c r="G982" t="s">
        <v>140</v>
      </c>
      <c r="H982">
        <v>2</v>
      </c>
      <c r="I982">
        <v>216000</v>
      </c>
      <c r="J982" t="s">
        <v>108</v>
      </c>
      <c r="K982" t="s">
        <v>21</v>
      </c>
      <c r="L982">
        <v>32</v>
      </c>
      <c r="M982" t="s">
        <v>30</v>
      </c>
      <c r="N982" t="s">
        <v>3012</v>
      </c>
    </row>
    <row r="983" spans="1:14" x14ac:dyDescent="0.35">
      <c r="A983" t="s">
        <v>3013</v>
      </c>
      <c r="B983" t="s">
        <v>3014</v>
      </c>
      <c r="C983" s="1">
        <v>45226</v>
      </c>
      <c r="D983" t="s">
        <v>16</v>
      </c>
      <c r="E983" t="s">
        <v>34</v>
      </c>
      <c r="F983" t="s">
        <v>67</v>
      </c>
      <c r="G983" t="s">
        <v>448</v>
      </c>
      <c r="H983">
        <v>4</v>
      </c>
      <c r="I983">
        <v>400000</v>
      </c>
      <c r="J983" t="s">
        <v>108</v>
      </c>
      <c r="K983" t="s">
        <v>29</v>
      </c>
      <c r="L983">
        <v>19</v>
      </c>
      <c r="M983" t="s">
        <v>22</v>
      </c>
      <c r="N983" t="s">
        <v>3015</v>
      </c>
    </row>
    <row r="984" spans="1:14" x14ac:dyDescent="0.35">
      <c r="A984" t="s">
        <v>3016</v>
      </c>
      <c r="B984" t="s">
        <v>3017</v>
      </c>
      <c r="C984" s="1">
        <v>45724</v>
      </c>
      <c r="D984" t="s">
        <v>16</v>
      </c>
      <c r="E984" t="s">
        <v>17</v>
      </c>
      <c r="F984" t="s">
        <v>18</v>
      </c>
      <c r="G984" t="s">
        <v>19</v>
      </c>
      <c r="H984">
        <v>1</v>
      </c>
      <c r="I984">
        <v>100000</v>
      </c>
      <c r="J984" t="s">
        <v>28</v>
      </c>
      <c r="K984" t="s">
        <v>29</v>
      </c>
      <c r="L984">
        <v>25</v>
      </c>
      <c r="M984" t="s">
        <v>22</v>
      </c>
      <c r="N984" t="s">
        <v>3018</v>
      </c>
    </row>
    <row r="985" spans="1:14" x14ac:dyDescent="0.35">
      <c r="A985" t="s">
        <v>3019</v>
      </c>
      <c r="B985" t="s">
        <v>3020</v>
      </c>
      <c r="C985" s="1">
        <v>45287</v>
      </c>
      <c r="D985" t="s">
        <v>45</v>
      </c>
      <c r="E985" t="s">
        <v>34</v>
      </c>
      <c r="F985" t="s">
        <v>61</v>
      </c>
      <c r="G985" t="s">
        <v>95</v>
      </c>
      <c r="H985">
        <v>4</v>
      </c>
      <c r="I985">
        <v>360000</v>
      </c>
      <c r="J985" t="s">
        <v>46</v>
      </c>
      <c r="K985" t="s">
        <v>29</v>
      </c>
      <c r="L985">
        <v>56</v>
      </c>
      <c r="M985" t="s">
        <v>30</v>
      </c>
      <c r="N985" t="s">
        <v>3021</v>
      </c>
    </row>
    <row r="986" spans="1:14" x14ac:dyDescent="0.35">
      <c r="A986" t="s">
        <v>3022</v>
      </c>
      <c r="B986" t="s">
        <v>3023</v>
      </c>
      <c r="C986" s="1">
        <v>45543</v>
      </c>
      <c r="D986" t="s">
        <v>16</v>
      </c>
      <c r="E986" t="s">
        <v>55</v>
      </c>
      <c r="F986" t="s">
        <v>18</v>
      </c>
      <c r="G986" t="s">
        <v>452</v>
      </c>
      <c r="H986">
        <v>5</v>
      </c>
      <c r="I986">
        <v>500000</v>
      </c>
      <c r="J986" t="s">
        <v>108</v>
      </c>
      <c r="K986" t="s">
        <v>29</v>
      </c>
      <c r="L986">
        <v>60</v>
      </c>
      <c r="M986" t="s">
        <v>22</v>
      </c>
      <c r="N986" t="s">
        <v>3024</v>
      </c>
    </row>
    <row r="987" spans="1:14" x14ac:dyDescent="0.35">
      <c r="A987" t="s">
        <v>3025</v>
      </c>
      <c r="B987" t="s">
        <v>3026</v>
      </c>
      <c r="C987" s="1">
        <v>45425</v>
      </c>
      <c r="D987" t="s">
        <v>72</v>
      </c>
      <c r="E987" t="s">
        <v>17</v>
      </c>
      <c r="F987" t="s">
        <v>252</v>
      </c>
      <c r="G987" t="s">
        <v>307</v>
      </c>
      <c r="H987">
        <v>1</v>
      </c>
      <c r="I987">
        <v>45000</v>
      </c>
      <c r="J987" t="s">
        <v>20</v>
      </c>
      <c r="K987" t="s">
        <v>29</v>
      </c>
      <c r="L987">
        <v>22</v>
      </c>
      <c r="M987" t="s">
        <v>30</v>
      </c>
      <c r="N987" t="s">
        <v>3027</v>
      </c>
    </row>
    <row r="988" spans="1:14" x14ac:dyDescent="0.35">
      <c r="A988" t="s">
        <v>3028</v>
      </c>
      <c r="B988" t="s">
        <v>3029</v>
      </c>
      <c r="C988" s="1">
        <v>45270</v>
      </c>
      <c r="D988" t="s">
        <v>16</v>
      </c>
      <c r="E988" t="s">
        <v>34</v>
      </c>
      <c r="F988" t="s">
        <v>39</v>
      </c>
      <c r="G988" t="s">
        <v>140</v>
      </c>
      <c r="H988">
        <v>2</v>
      </c>
      <c r="I988">
        <v>240000</v>
      </c>
      <c r="J988" t="s">
        <v>108</v>
      </c>
      <c r="K988" t="s">
        <v>21</v>
      </c>
      <c r="L988">
        <v>28</v>
      </c>
      <c r="M988" t="s">
        <v>22</v>
      </c>
      <c r="N988" t="s">
        <v>3030</v>
      </c>
    </row>
    <row r="989" spans="1:14" x14ac:dyDescent="0.35">
      <c r="A989" t="s">
        <v>3031</v>
      </c>
      <c r="B989" t="s">
        <v>3032</v>
      </c>
      <c r="C989" s="1">
        <v>45611</v>
      </c>
      <c r="D989" t="s">
        <v>16</v>
      </c>
      <c r="E989" t="s">
        <v>55</v>
      </c>
      <c r="F989" t="s">
        <v>39</v>
      </c>
      <c r="G989" t="s">
        <v>140</v>
      </c>
      <c r="H989">
        <v>4</v>
      </c>
      <c r="I989">
        <v>480000</v>
      </c>
      <c r="J989" t="s">
        <v>108</v>
      </c>
      <c r="K989" t="s">
        <v>21</v>
      </c>
      <c r="L989">
        <v>38</v>
      </c>
      <c r="M989" t="s">
        <v>30</v>
      </c>
      <c r="N989" t="s">
        <v>3033</v>
      </c>
    </row>
    <row r="990" spans="1:14" x14ac:dyDescent="0.35">
      <c r="A990" t="s">
        <v>3034</v>
      </c>
      <c r="B990" t="s">
        <v>3035</v>
      </c>
      <c r="C990" s="1">
        <v>45372</v>
      </c>
      <c r="D990" t="s">
        <v>66</v>
      </c>
      <c r="E990" t="s">
        <v>34</v>
      </c>
      <c r="F990" t="s">
        <v>18</v>
      </c>
      <c r="G990" t="s">
        <v>452</v>
      </c>
      <c r="H990">
        <v>4</v>
      </c>
      <c r="I990">
        <v>288000</v>
      </c>
      <c r="J990" t="s">
        <v>46</v>
      </c>
      <c r="K990" t="s">
        <v>21</v>
      </c>
      <c r="L990">
        <v>9</v>
      </c>
      <c r="M990" t="s">
        <v>30</v>
      </c>
      <c r="N990" t="s">
        <v>3036</v>
      </c>
    </row>
    <row r="991" spans="1:14" x14ac:dyDescent="0.35">
      <c r="A991" t="s">
        <v>3037</v>
      </c>
      <c r="B991" t="s">
        <v>3038</v>
      </c>
      <c r="C991" s="1">
        <v>45320</v>
      </c>
      <c r="D991" t="s">
        <v>16</v>
      </c>
      <c r="E991" t="s">
        <v>34</v>
      </c>
      <c r="F991" t="s">
        <v>56</v>
      </c>
      <c r="G991" t="s">
        <v>508</v>
      </c>
      <c r="H991">
        <v>4</v>
      </c>
      <c r="I991">
        <v>400000</v>
      </c>
      <c r="J991" t="s">
        <v>83</v>
      </c>
      <c r="K991" t="s">
        <v>29</v>
      </c>
      <c r="L991">
        <v>58</v>
      </c>
      <c r="M991" t="s">
        <v>22</v>
      </c>
      <c r="N991" t="s">
        <v>1326</v>
      </c>
    </row>
    <row r="992" spans="1:14" x14ac:dyDescent="0.35">
      <c r="A992" t="s">
        <v>3039</v>
      </c>
      <c r="B992" t="s">
        <v>3040</v>
      </c>
      <c r="C992" s="1">
        <v>45633</v>
      </c>
      <c r="D992" t="s">
        <v>16</v>
      </c>
      <c r="E992" t="s">
        <v>55</v>
      </c>
      <c r="F992" t="s">
        <v>39</v>
      </c>
      <c r="G992" t="s">
        <v>40</v>
      </c>
      <c r="H992">
        <v>3</v>
      </c>
      <c r="I992">
        <v>420000</v>
      </c>
      <c r="J992" t="s">
        <v>46</v>
      </c>
      <c r="K992" t="s">
        <v>41</v>
      </c>
      <c r="L992">
        <v>57</v>
      </c>
      <c r="M992" t="s">
        <v>30</v>
      </c>
      <c r="N992" t="s">
        <v>3041</v>
      </c>
    </row>
    <row r="993" spans="1:14" x14ac:dyDescent="0.35">
      <c r="A993" t="s">
        <v>3042</v>
      </c>
      <c r="B993" t="s">
        <v>3043</v>
      </c>
      <c r="C993" s="1">
        <v>45442</v>
      </c>
      <c r="D993" t="s">
        <v>16</v>
      </c>
      <c r="E993" t="s">
        <v>55</v>
      </c>
      <c r="F993" t="s">
        <v>26</v>
      </c>
      <c r="G993" t="s">
        <v>87</v>
      </c>
      <c r="H993">
        <v>5</v>
      </c>
      <c r="I993">
        <v>700000</v>
      </c>
      <c r="J993" t="s">
        <v>28</v>
      </c>
      <c r="K993" t="s">
        <v>41</v>
      </c>
      <c r="L993">
        <v>37</v>
      </c>
      <c r="M993" t="s">
        <v>30</v>
      </c>
      <c r="N993" t="s">
        <v>3044</v>
      </c>
    </row>
    <row r="994" spans="1:14" x14ac:dyDescent="0.35">
      <c r="A994" t="s">
        <v>3045</v>
      </c>
      <c r="B994" t="s">
        <v>3046</v>
      </c>
      <c r="C994" s="1">
        <v>45195</v>
      </c>
      <c r="D994" t="s">
        <v>45</v>
      </c>
      <c r="E994" t="s">
        <v>55</v>
      </c>
      <c r="F994" t="s">
        <v>56</v>
      </c>
      <c r="G994" t="s">
        <v>508</v>
      </c>
      <c r="H994">
        <v>3</v>
      </c>
      <c r="I994">
        <v>324000</v>
      </c>
      <c r="J994" t="s">
        <v>46</v>
      </c>
      <c r="K994" t="s">
        <v>21</v>
      </c>
      <c r="L994">
        <v>52</v>
      </c>
      <c r="M994" t="s">
        <v>30</v>
      </c>
      <c r="N994" t="s">
        <v>3047</v>
      </c>
    </row>
    <row r="995" spans="1:14" x14ac:dyDescent="0.35">
      <c r="A995" t="s">
        <v>3048</v>
      </c>
      <c r="B995" t="s">
        <v>3049</v>
      </c>
      <c r="C995" s="1">
        <v>45478</v>
      </c>
      <c r="D995" t="s">
        <v>66</v>
      </c>
      <c r="E995" t="s">
        <v>34</v>
      </c>
      <c r="F995" t="s">
        <v>26</v>
      </c>
      <c r="G995" t="s">
        <v>124</v>
      </c>
      <c r="H995">
        <v>1</v>
      </c>
      <c r="I995">
        <v>60000</v>
      </c>
      <c r="J995" t="s">
        <v>83</v>
      </c>
      <c r="K995" t="s">
        <v>29</v>
      </c>
      <c r="L995">
        <v>50</v>
      </c>
      <c r="M995" t="s">
        <v>30</v>
      </c>
      <c r="N995" t="s">
        <v>3050</v>
      </c>
    </row>
    <row r="996" spans="1:14" x14ac:dyDescent="0.35">
      <c r="A996" t="s">
        <v>3051</v>
      </c>
      <c r="B996" t="s">
        <v>3052</v>
      </c>
      <c r="C996" s="1">
        <v>45242</v>
      </c>
      <c r="D996" t="s">
        <v>66</v>
      </c>
      <c r="E996" t="s">
        <v>55</v>
      </c>
      <c r="F996" t="s">
        <v>163</v>
      </c>
      <c r="G996" t="s">
        <v>536</v>
      </c>
      <c r="H996">
        <v>1</v>
      </c>
      <c r="I996">
        <v>72000</v>
      </c>
      <c r="J996" t="s">
        <v>83</v>
      </c>
      <c r="K996" t="s">
        <v>21</v>
      </c>
      <c r="L996">
        <v>8</v>
      </c>
      <c r="M996" t="s">
        <v>30</v>
      </c>
      <c r="N996" t="s">
        <v>3053</v>
      </c>
    </row>
    <row r="997" spans="1:14" x14ac:dyDescent="0.35">
      <c r="A997" t="s">
        <v>3054</v>
      </c>
      <c r="B997" t="s">
        <v>3055</v>
      </c>
      <c r="C997" s="1">
        <v>45622</v>
      </c>
      <c r="D997" t="s">
        <v>66</v>
      </c>
      <c r="E997" t="s">
        <v>34</v>
      </c>
      <c r="F997" t="s">
        <v>26</v>
      </c>
      <c r="G997" t="s">
        <v>87</v>
      </c>
      <c r="H997">
        <v>2</v>
      </c>
      <c r="I997">
        <v>120000</v>
      </c>
      <c r="J997" t="s">
        <v>83</v>
      </c>
      <c r="K997" t="s">
        <v>29</v>
      </c>
      <c r="L997">
        <v>40</v>
      </c>
      <c r="M997" t="s">
        <v>22</v>
      </c>
      <c r="N997" t="s">
        <v>3056</v>
      </c>
    </row>
    <row r="998" spans="1:14" x14ac:dyDescent="0.35">
      <c r="A998" t="s">
        <v>3057</v>
      </c>
      <c r="B998" t="s">
        <v>3058</v>
      </c>
      <c r="C998" s="1">
        <v>45249</v>
      </c>
      <c r="D998" t="s">
        <v>72</v>
      </c>
      <c r="E998" t="s">
        <v>55</v>
      </c>
      <c r="F998" t="s">
        <v>26</v>
      </c>
      <c r="G998" t="s">
        <v>221</v>
      </c>
      <c r="H998">
        <v>1</v>
      </c>
      <c r="I998">
        <v>63000</v>
      </c>
      <c r="J998" t="s">
        <v>108</v>
      </c>
      <c r="K998" t="s">
        <v>41</v>
      </c>
      <c r="L998">
        <v>18</v>
      </c>
      <c r="M998" t="s">
        <v>30</v>
      </c>
      <c r="N998" t="s">
        <v>3059</v>
      </c>
    </row>
    <row r="999" spans="1:14" x14ac:dyDescent="0.35">
      <c r="A999" t="s">
        <v>3060</v>
      </c>
      <c r="B999" t="s">
        <v>3061</v>
      </c>
      <c r="C999" s="1">
        <v>45191</v>
      </c>
      <c r="D999" t="s">
        <v>45</v>
      </c>
      <c r="E999" t="s">
        <v>55</v>
      </c>
      <c r="F999" t="s">
        <v>77</v>
      </c>
      <c r="G999" t="s">
        <v>136</v>
      </c>
      <c r="H999">
        <v>4</v>
      </c>
      <c r="I999">
        <v>360000</v>
      </c>
      <c r="J999" t="s">
        <v>46</v>
      </c>
      <c r="K999" t="s">
        <v>29</v>
      </c>
      <c r="L999">
        <v>30</v>
      </c>
      <c r="M999" t="s">
        <v>22</v>
      </c>
      <c r="N999" t="s">
        <v>3062</v>
      </c>
    </row>
    <row r="1000" spans="1:14" x14ac:dyDescent="0.35">
      <c r="A1000" t="s">
        <v>3063</v>
      </c>
      <c r="B1000" t="s">
        <v>3064</v>
      </c>
      <c r="C1000" s="1">
        <v>45464</v>
      </c>
      <c r="D1000" t="s">
        <v>66</v>
      </c>
      <c r="E1000" t="s">
        <v>34</v>
      </c>
      <c r="F1000" t="s">
        <v>26</v>
      </c>
      <c r="G1000" t="s">
        <v>87</v>
      </c>
      <c r="H1000">
        <v>4</v>
      </c>
      <c r="I1000">
        <v>336000</v>
      </c>
      <c r="J1000" t="s">
        <v>20</v>
      </c>
      <c r="K1000" t="s">
        <v>41</v>
      </c>
      <c r="L1000">
        <v>33</v>
      </c>
      <c r="M1000" t="s">
        <v>30</v>
      </c>
      <c r="N1000" t="s">
        <v>3065</v>
      </c>
    </row>
    <row r="1001" spans="1:14" x14ac:dyDescent="0.35">
      <c r="A1001" t="s">
        <v>3066</v>
      </c>
      <c r="B1001" t="s">
        <v>3067</v>
      </c>
      <c r="C1001" s="1">
        <v>45468</v>
      </c>
      <c r="D1001" t="s">
        <v>45</v>
      </c>
      <c r="E1001" t="s">
        <v>17</v>
      </c>
      <c r="F1001" t="s">
        <v>61</v>
      </c>
      <c r="G1001" t="s">
        <v>290</v>
      </c>
      <c r="H1001">
        <v>5</v>
      </c>
      <c r="I1001">
        <v>630000</v>
      </c>
      <c r="J1001" t="s">
        <v>20</v>
      </c>
      <c r="K1001" t="s">
        <v>41</v>
      </c>
      <c r="L1001">
        <v>27</v>
      </c>
      <c r="M1001" t="s">
        <v>22</v>
      </c>
      <c r="N1001" t="s">
        <v>3068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A5F6-488E-4ED5-BD58-5D68E2F14038}">
  <dimension ref="A1"/>
  <sheetViews>
    <sheetView showFormulas="1" showGridLines="0" tabSelected="1" zoomScale="90" zoomScaleNormal="90" workbookViewId="0">
      <selection activeCell="K24" sqref="K24"/>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7D6D8-1D5F-4ABE-8DC7-2649A5273C6C}">
  <dimension ref="A3:B21"/>
  <sheetViews>
    <sheetView workbookViewId="0">
      <selection activeCell="A20" sqref="A20"/>
    </sheetView>
  </sheetViews>
  <sheetFormatPr defaultRowHeight="14.5" x14ac:dyDescent="0.35"/>
  <cols>
    <col min="1" max="1" width="12.90625" bestFit="1" customWidth="1"/>
    <col min="2" max="2" width="24" bestFit="1" customWidth="1"/>
  </cols>
  <sheetData>
    <row r="3" spans="1:2" x14ac:dyDescent="0.35">
      <c r="A3" s="2" t="s">
        <v>3069</v>
      </c>
      <c r="B3" t="s">
        <v>3083</v>
      </c>
    </row>
    <row r="4" spans="1:2" x14ac:dyDescent="0.35">
      <c r="A4" s="3" t="s">
        <v>3071</v>
      </c>
      <c r="B4" s="4">
        <v>10856000</v>
      </c>
    </row>
    <row r="5" spans="1:2" x14ac:dyDescent="0.35">
      <c r="A5" s="3" t="s">
        <v>3072</v>
      </c>
      <c r="B5" s="4">
        <v>9647000</v>
      </c>
    </row>
    <row r="6" spans="1:2" x14ac:dyDescent="0.35">
      <c r="A6" s="3" t="s">
        <v>3073</v>
      </c>
      <c r="B6" s="4">
        <v>15458000</v>
      </c>
    </row>
    <row r="7" spans="1:2" x14ac:dyDescent="0.35">
      <c r="A7" s="3" t="s">
        <v>3074</v>
      </c>
      <c r="B7" s="4">
        <v>11021000</v>
      </c>
    </row>
    <row r="8" spans="1:2" x14ac:dyDescent="0.35">
      <c r="A8" s="3" t="s">
        <v>3075</v>
      </c>
      <c r="B8" s="4">
        <v>11505000</v>
      </c>
    </row>
    <row r="9" spans="1:2" x14ac:dyDescent="0.35">
      <c r="A9" s="3" t="s">
        <v>3076</v>
      </c>
      <c r="B9" s="4">
        <v>9156000</v>
      </c>
    </row>
    <row r="10" spans="1:2" x14ac:dyDescent="0.35">
      <c r="A10" s="3" t="s">
        <v>3077</v>
      </c>
      <c r="B10" s="4">
        <v>11729000</v>
      </c>
    </row>
    <row r="11" spans="1:2" x14ac:dyDescent="0.35">
      <c r="A11" s="3" t="s">
        <v>3078</v>
      </c>
      <c r="B11" s="4">
        <v>8906000</v>
      </c>
    </row>
    <row r="12" spans="1:2" x14ac:dyDescent="0.35">
      <c r="A12" s="3" t="s">
        <v>3079</v>
      </c>
      <c r="B12" s="4">
        <v>8922000</v>
      </c>
    </row>
    <row r="13" spans="1:2" x14ac:dyDescent="0.35">
      <c r="A13" s="3" t="s">
        <v>3080</v>
      </c>
      <c r="B13" s="4">
        <v>9177000</v>
      </c>
    </row>
    <row r="14" spans="1:2" x14ac:dyDescent="0.35">
      <c r="A14" s="3" t="s">
        <v>3081</v>
      </c>
      <c r="B14" s="4">
        <v>13024000</v>
      </c>
    </row>
    <row r="15" spans="1:2" x14ac:dyDescent="0.35">
      <c r="A15" s="3" t="s">
        <v>3082</v>
      </c>
      <c r="B15" s="4">
        <v>11064000</v>
      </c>
    </row>
    <row r="16" spans="1:2" x14ac:dyDescent="0.35">
      <c r="A16" s="3" t="s">
        <v>3070</v>
      </c>
      <c r="B16" s="4">
        <v>130465000</v>
      </c>
    </row>
    <row r="20" spans="1:2" x14ac:dyDescent="0.35">
      <c r="A20" s="10" t="s">
        <v>3085</v>
      </c>
      <c r="B20" s="4">
        <f>GETPIVOTDATA("Sale_Amount_USD",$A$3)</f>
        <v>130465000</v>
      </c>
    </row>
    <row r="21" spans="1:2" x14ac:dyDescent="0.35">
      <c r="B21" s="4"/>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CD041-EA6C-441C-94CE-F1127062C597}">
  <dimension ref="A3:B12"/>
  <sheetViews>
    <sheetView workbookViewId="0">
      <selection activeCell="A12" sqref="A12"/>
    </sheetView>
  </sheetViews>
  <sheetFormatPr defaultRowHeight="14.5" x14ac:dyDescent="0.35"/>
  <cols>
    <col min="1" max="1" width="14.1796875" bestFit="1" customWidth="1"/>
    <col min="2" max="2" width="18.36328125" bestFit="1" customWidth="1"/>
  </cols>
  <sheetData>
    <row r="3" spans="1:2" x14ac:dyDescent="0.35">
      <c r="A3" s="5" t="s">
        <v>3069</v>
      </c>
      <c r="B3" s="4" t="s">
        <v>3084</v>
      </c>
    </row>
    <row r="4" spans="1:2" x14ac:dyDescent="0.35">
      <c r="A4" s="6" t="s">
        <v>66</v>
      </c>
      <c r="B4" s="9">
        <v>376</v>
      </c>
    </row>
    <row r="5" spans="1:2" x14ac:dyDescent="0.35">
      <c r="A5" s="6" t="s">
        <v>72</v>
      </c>
      <c r="B5" s="9">
        <v>343</v>
      </c>
    </row>
    <row r="6" spans="1:2" x14ac:dyDescent="0.35">
      <c r="A6" s="6" t="s">
        <v>45</v>
      </c>
      <c r="B6" s="9">
        <v>376</v>
      </c>
    </row>
    <row r="7" spans="1:2" x14ac:dyDescent="0.35">
      <c r="A7" s="6" t="s">
        <v>16</v>
      </c>
      <c r="B7" s="9">
        <v>377</v>
      </c>
    </row>
    <row r="8" spans="1:2" x14ac:dyDescent="0.35">
      <c r="A8" s="6" t="s">
        <v>3070</v>
      </c>
      <c r="B8" s="9">
        <v>1472</v>
      </c>
    </row>
    <row r="12" spans="1:2" x14ac:dyDescent="0.35">
      <c r="A12" s="10" t="s">
        <v>3086</v>
      </c>
      <c r="B12" s="7">
        <f>GETPIVOTDATA("Units_Sold",$A$3)</f>
        <v>1472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7BBA-6083-4302-979C-0465201B6855}">
  <dimension ref="A3:B9"/>
  <sheetViews>
    <sheetView workbookViewId="0">
      <selection activeCell="I24" sqref="I24"/>
    </sheetView>
  </sheetViews>
  <sheetFormatPr defaultRowHeight="14.5" x14ac:dyDescent="0.35"/>
  <cols>
    <col min="1" max="1" width="12.90625" bestFit="1" customWidth="1"/>
    <col min="2" max="2" width="24" bestFit="1" customWidth="1"/>
  </cols>
  <sheetData>
    <row r="3" spans="1:2" x14ac:dyDescent="0.35">
      <c r="A3" s="2" t="s">
        <v>3069</v>
      </c>
      <c r="B3" t="s">
        <v>3083</v>
      </c>
    </row>
    <row r="4" spans="1:2" x14ac:dyDescent="0.35">
      <c r="A4" s="3" t="s">
        <v>50</v>
      </c>
      <c r="B4" s="4">
        <v>27521000</v>
      </c>
    </row>
    <row r="5" spans="1:2" x14ac:dyDescent="0.35">
      <c r="A5" s="3" t="s">
        <v>163</v>
      </c>
      <c r="B5" s="4">
        <v>24447000</v>
      </c>
    </row>
    <row r="6" spans="1:2" x14ac:dyDescent="0.35">
      <c r="A6" s="3" t="s">
        <v>26</v>
      </c>
      <c r="B6" s="4">
        <v>29816000</v>
      </c>
    </row>
    <row r="7" spans="1:2" x14ac:dyDescent="0.35">
      <c r="A7" s="3" t="s">
        <v>39</v>
      </c>
      <c r="B7" s="4">
        <v>23416000</v>
      </c>
    </row>
    <row r="8" spans="1:2" x14ac:dyDescent="0.35">
      <c r="A8" s="3" t="s">
        <v>18</v>
      </c>
      <c r="B8" s="4">
        <v>25265000</v>
      </c>
    </row>
    <row r="9" spans="1:2" x14ac:dyDescent="0.35">
      <c r="A9" s="3" t="s">
        <v>3070</v>
      </c>
      <c r="B9" s="4">
        <v>130465000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DC9B9-3340-43B8-94E6-6CFCDDDA8538}">
  <dimension ref="A3:B9"/>
  <sheetViews>
    <sheetView workbookViewId="0">
      <selection activeCell="L9" sqref="L9"/>
    </sheetView>
  </sheetViews>
  <sheetFormatPr defaultRowHeight="14.5" x14ac:dyDescent="0.35"/>
  <cols>
    <col min="1" max="1" width="12.90625" bestFit="1" customWidth="1"/>
    <col min="2" max="2" width="24" bestFit="1" customWidth="1"/>
  </cols>
  <sheetData>
    <row r="3" spans="1:2" x14ac:dyDescent="0.35">
      <c r="A3" s="2" t="s">
        <v>3069</v>
      </c>
      <c r="B3" t="s">
        <v>3083</v>
      </c>
    </row>
    <row r="4" spans="1:2" x14ac:dyDescent="0.35">
      <c r="A4" s="3" t="s">
        <v>46</v>
      </c>
      <c r="B4" s="4">
        <v>27945000</v>
      </c>
    </row>
    <row r="5" spans="1:2" x14ac:dyDescent="0.35">
      <c r="A5" s="3" t="s">
        <v>83</v>
      </c>
      <c r="B5" s="4">
        <v>23003000</v>
      </c>
    </row>
    <row r="6" spans="1:2" x14ac:dyDescent="0.35">
      <c r="A6" s="3" t="s">
        <v>20</v>
      </c>
      <c r="B6" s="4">
        <v>29948000</v>
      </c>
    </row>
    <row r="7" spans="1:2" x14ac:dyDescent="0.35">
      <c r="A7" s="3" t="s">
        <v>108</v>
      </c>
      <c r="B7" s="4">
        <v>23094000</v>
      </c>
    </row>
    <row r="8" spans="1:2" x14ac:dyDescent="0.35">
      <c r="A8" s="3" t="s">
        <v>28</v>
      </c>
      <c r="B8" s="4">
        <v>26475000</v>
      </c>
    </row>
    <row r="9" spans="1:2" x14ac:dyDescent="0.35">
      <c r="A9" s="3" t="s">
        <v>3070</v>
      </c>
      <c r="B9" s="4">
        <v>130465000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BF12-D7DA-467E-BDDA-3F202AA7694F}">
  <dimension ref="A3:B6"/>
  <sheetViews>
    <sheetView workbookViewId="0">
      <selection activeCell="C12" sqref="C12"/>
    </sheetView>
  </sheetViews>
  <sheetFormatPr defaultRowHeight="14.5" x14ac:dyDescent="0.35"/>
  <cols>
    <col min="1" max="1" width="12.90625" bestFit="1" customWidth="1"/>
    <col min="2" max="3" width="24" bestFit="1" customWidth="1"/>
  </cols>
  <sheetData>
    <row r="3" spans="1:2" x14ac:dyDescent="0.35">
      <c r="A3" s="2" t="s">
        <v>3069</v>
      </c>
      <c r="B3" t="s">
        <v>3083</v>
      </c>
    </row>
    <row r="4" spans="1:2" x14ac:dyDescent="0.35">
      <c r="A4" s="3" t="s">
        <v>30</v>
      </c>
      <c r="B4" s="4">
        <v>72483000</v>
      </c>
    </row>
    <row r="5" spans="1:2" x14ac:dyDescent="0.35">
      <c r="A5" s="3" t="s">
        <v>22</v>
      </c>
      <c r="B5" s="4">
        <v>57982000</v>
      </c>
    </row>
    <row r="6" spans="1:2" x14ac:dyDescent="0.35">
      <c r="A6" s="3" t="s">
        <v>3070</v>
      </c>
      <c r="B6" s="4">
        <v>130465000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Tesla_sales_dataset</vt:lpstr>
      <vt:lpstr>Dashboard</vt:lpstr>
      <vt:lpstr>Time Series of Sale Amount</vt:lpstr>
      <vt:lpstr>Sale Unit by Car Model</vt:lpstr>
      <vt:lpstr>Sale Amount by Country</vt:lpstr>
      <vt:lpstr>Sale Amount by Car Color</vt:lpstr>
      <vt:lpstr>Sale Amount by Customer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Amoakoh, Ebenezer Oheneba</cp:lastModifiedBy>
  <dcterms:created xsi:type="dcterms:W3CDTF">2025-12-12T12:03:27Z</dcterms:created>
  <dcterms:modified xsi:type="dcterms:W3CDTF">2025-12-14T18:44:28Z</dcterms:modified>
</cp:coreProperties>
</file>